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314A3B8A-966D-405B-BB72-1D66ABAFD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mestrales" sheetId="2" r:id="rId1"/>
    <sheet name="Mensuales" sheetId="1" r:id="rId2"/>
    <sheet name="descripc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3" i="1"/>
  <c r="E16" i="1"/>
  <c r="E19" i="1"/>
  <c r="E22" i="1"/>
  <c r="E25" i="1"/>
  <c r="E28" i="1"/>
  <c r="E31" i="1"/>
  <c r="E34" i="1"/>
  <c r="E37" i="1"/>
  <c r="E40" i="1"/>
  <c r="E43" i="1"/>
  <c r="E46" i="1"/>
  <c r="E49" i="1"/>
  <c r="E52" i="1"/>
  <c r="E55" i="1"/>
  <c r="E58" i="1"/>
  <c r="E61" i="1"/>
  <c r="E64" i="1"/>
  <c r="E67" i="1"/>
  <c r="E70" i="1"/>
  <c r="E73" i="1"/>
  <c r="E76" i="1"/>
  <c r="E79" i="1"/>
  <c r="E82" i="1"/>
  <c r="E85" i="1"/>
  <c r="E88" i="1"/>
  <c r="E91" i="1"/>
  <c r="E94" i="1"/>
  <c r="E97" i="1"/>
  <c r="E100" i="1"/>
  <c r="E103" i="1"/>
  <c r="E106" i="1"/>
  <c r="E109" i="1"/>
  <c r="E112" i="1"/>
  <c r="E115" i="1"/>
  <c r="E118" i="1"/>
  <c r="E121" i="1"/>
  <c r="E124" i="1"/>
  <c r="E127" i="1"/>
  <c r="E130" i="1"/>
  <c r="E133" i="1"/>
  <c r="E136" i="1"/>
  <c r="E139" i="1"/>
  <c r="E142" i="1"/>
  <c r="E145" i="1"/>
  <c r="E148" i="1"/>
  <c r="E151" i="1"/>
  <c r="E154" i="1"/>
  <c r="E157" i="1"/>
  <c r="E160" i="1"/>
  <c r="E163" i="1"/>
  <c r="E166" i="1"/>
  <c r="E169" i="1"/>
  <c r="E172" i="1"/>
  <c r="E175" i="1"/>
  <c r="E178" i="1"/>
  <c r="E181" i="1"/>
  <c r="E184" i="1"/>
  <c r="E187" i="1"/>
  <c r="E190" i="1"/>
  <c r="E193" i="1"/>
  <c r="E196" i="1"/>
  <c r="E199" i="1"/>
  <c r="E202" i="1"/>
  <c r="E7" i="1"/>
  <c r="E4" i="1"/>
  <c r="D16" i="1"/>
  <c r="D19" i="1"/>
  <c r="D22" i="1"/>
  <c r="D25" i="1"/>
  <c r="D28" i="1"/>
  <c r="D31" i="1"/>
  <c r="D34" i="1"/>
  <c r="D37" i="1"/>
  <c r="D40" i="1"/>
  <c r="D43" i="1"/>
  <c r="D46" i="1"/>
  <c r="D49" i="1"/>
  <c r="D52" i="1"/>
  <c r="D55" i="1"/>
  <c r="D58" i="1"/>
  <c r="D61" i="1"/>
  <c r="D64" i="1"/>
  <c r="D67" i="1"/>
  <c r="D70" i="1"/>
  <c r="D73" i="1"/>
  <c r="D76" i="1"/>
  <c r="D79" i="1"/>
  <c r="D82" i="1"/>
  <c r="D85" i="1"/>
  <c r="D88" i="1"/>
  <c r="D91" i="1"/>
  <c r="D94" i="1"/>
  <c r="D97" i="1"/>
  <c r="D100" i="1"/>
  <c r="D103" i="1"/>
  <c r="D106" i="1"/>
  <c r="D109" i="1"/>
  <c r="D112" i="1"/>
  <c r="D115" i="1"/>
  <c r="D118" i="1"/>
  <c r="D121" i="1"/>
  <c r="D124" i="1"/>
  <c r="D127" i="1"/>
  <c r="D130" i="1"/>
  <c r="D133" i="1"/>
  <c r="D136" i="1"/>
  <c r="D139" i="1"/>
  <c r="D142" i="1"/>
  <c r="D145" i="1"/>
  <c r="D148" i="1"/>
  <c r="D151" i="1"/>
  <c r="D154" i="1"/>
  <c r="D157" i="1"/>
  <c r="D160" i="1"/>
  <c r="D163" i="1"/>
  <c r="D166" i="1"/>
  <c r="D169" i="1"/>
  <c r="D172" i="1"/>
  <c r="D175" i="1"/>
  <c r="D178" i="1"/>
  <c r="D181" i="1"/>
  <c r="D184" i="1"/>
  <c r="D187" i="1"/>
  <c r="D190" i="1"/>
  <c r="D193" i="1"/>
  <c r="D196" i="1"/>
  <c r="D199" i="1"/>
  <c r="D202" i="1"/>
  <c r="D13" i="1"/>
  <c r="D10" i="1"/>
  <c r="D7" i="1"/>
  <c r="D4" i="1"/>
</calcChain>
</file>

<file path=xl/sharedStrings.xml><?xml version="1.0" encoding="utf-8"?>
<sst xmlns="http://schemas.openxmlformats.org/spreadsheetml/2006/main" count="289" uniqueCount="284">
  <si>
    <t>PN01129XM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</si>
  <si>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</si>
  <si>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</si>
  <si>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</si>
  <si>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</si>
  <si>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</si>
  <si>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</si>
  <si>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</si>
  <si>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</si>
  <si>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</si>
  <si>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</si>
  <si>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</si>
  <si>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</si>
  <si>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</si>
  <si>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</si>
  <si>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</si>
  <si>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</si>
  <si>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</si>
  <si>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</si>
  <si>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</si>
  <si>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</si>
  <si>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</si>
  <si>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</si>
  <si>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</si>
  <si>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</si>
  <si>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</si>
  <si>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</si>
  <si>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</si>
  <si>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</si>
  <si>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</si>
  <si>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</si>
  <si>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</si>
  <si>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</si>
  <si>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</si>
  <si>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</si>
  <si>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</si>
  <si>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</si>
  <si>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</si>
  <si>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</si>
  <si>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</si>
  <si>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</si>
  <si>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</si>
  <si>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</si>
  <si>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</si>
  <si>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</si>
  <si>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</si>
  <si>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</si>
  <si>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</si>
  <si>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</si>
  <si>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</si>
  <si>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</si>
  <si>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</si>
  <si>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</si>
  <si>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</si>
  <si>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</si>
  <si>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</si>
  <si>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</si>
  <si>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</si>
  <si>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</si>
  <si>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</si>
  <si>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</si>
  <si>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</si>
  <si>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</si>
  <si>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</si>
  <si>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</si>
  <si>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</si>
  <si>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</si>
  <si>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</si>
  <si>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</si>
  <si>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</si>
  <si>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</si>
  <si>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</si>
  <si>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</si>
  <si>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</si>
  <si>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</si>
  <si>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</si>
  <si>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</si>
  <si>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</si>
  <si>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</si>
  <si>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</si>
  <si>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</si>
  <si>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</si>
  <si>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</si>
  <si>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</si>
  <si>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</si>
  <si>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</si>
  <si>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</si>
  <si>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</si>
  <si>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</si>
  <si>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</si>
  <si>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</si>
  <si>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</si>
  <si>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</si>
  <si>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</si>
  <si>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</si>
  <si>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</si>
  <si>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</si>
  <si>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</si>
  <si>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</si>
  <si>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</si>
  <si>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</si>
  <si>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</si>
  <si>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</si>
  <si>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</si>
  <si>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</si>
  <si>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</si>
  <si>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</si>
  <si>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</si>
  <si>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</si>
  <si>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</si>
  <si>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</si>
  <si>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</si>
  <si>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</si>
  <si>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</si>
  <si>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</si>
  <si>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</si>
  <si>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</si>
  <si>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</si>
  <si>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</si>
  <si>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</si>
  <si>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</si>
  <si>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</si>
  <si>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</si>
  <si>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</si>
  <si>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</si>
  <si>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</si>
  <si>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</si>
  <si>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</si>
  <si>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</si>
  <si>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</si>
  <si>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</si>
  <si>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</si>
  <si>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</si>
  <si>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</si>
  <si>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</si>
  <si>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</si>
  <si>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</si>
  <si>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</si>
  <si>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</si>
  <si>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</si>
  <si>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</si>
  <si>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</si>
  <si>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</si>
  <si>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</si>
  <si>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</si>
  <si>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</si>
  <si>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</si>
  <si>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</si>
  <si>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</si>
  <si>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</si>
  <si>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</si>
  <si>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</si>
  <si>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</si>
  <si>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</si>
  <si>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</si>
  <si>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</si>
  <si>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</si>
  <si>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</si>
  <si>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</si>
  <si>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</si>
  <si>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</si>
  <si>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</si>
  <si>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</si>
  <si>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</si>
  <si>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</si>
  <si>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</si>
  <si>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</si>
  <si>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</si>
  <si>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</si>
  <si>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</si>
  <si>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</si>
  <si>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</si>
  <si>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</si>
  <si>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</si>
  <si>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</si>
  <si>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</si>
  <si>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</si>
  <si>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</si>
  <si>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</si>
  <si>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</si>
  <si>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</si>
  <si>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</si>
  <si>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</si>
  <si>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</si>
  <si>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</si>
  <si>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</si>
  <si>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</si>
  <si>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</si>
  <si>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</si>
  <si>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</si>
  <si>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</si>
  <si>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</si>
  <si>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</si>
  <si>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</si>
  <si>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</si>
  <si>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</si>
  <si>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</si>
  <si>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</si>
  <si>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</si>
  <si>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</si>
  <si>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</si>
  <si>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</si>
  <si>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CODIGO</t>
  </si>
  <si>
    <t>VARIABLE</t>
  </si>
  <si>
    <t>DESCRIPCIÓN</t>
  </si>
  <si>
    <t>Diferencial de Rendimientos del Índice de Bonos de Mercados Emergentes (EMBIG) - Perú</t>
  </si>
  <si>
    <t>COUNTRY - RISK</t>
  </si>
  <si>
    <t>CORRUPTION</t>
  </si>
  <si>
    <t>T406</t>
  </si>
  <si>
    <t>T107</t>
  </si>
  <si>
    <t>T207</t>
  </si>
  <si>
    <t>T307</t>
  </si>
  <si>
    <t>T407</t>
  </si>
  <si>
    <t>T108</t>
  </si>
  <si>
    <t>T208</t>
  </si>
  <si>
    <t>T308</t>
  </si>
  <si>
    <t>T408</t>
  </si>
  <si>
    <t>T109</t>
  </si>
  <si>
    <t>T209</t>
  </si>
  <si>
    <t>T309</t>
  </si>
  <si>
    <t>T409</t>
  </si>
  <si>
    <t>T110</t>
  </si>
  <si>
    <t>T210</t>
  </si>
  <si>
    <t>T310</t>
  </si>
  <si>
    <t>T410</t>
  </si>
  <si>
    <t>T111</t>
  </si>
  <si>
    <t>T211</t>
  </si>
  <si>
    <t>T311</t>
  </si>
  <si>
    <t>T411</t>
  </si>
  <si>
    <t>T112</t>
  </si>
  <si>
    <t>T212</t>
  </si>
  <si>
    <t>T312</t>
  </si>
  <si>
    <t>T412</t>
  </si>
  <si>
    <t>T113</t>
  </si>
  <si>
    <t>T213</t>
  </si>
  <si>
    <t>T313</t>
  </si>
  <si>
    <t>T413</t>
  </si>
  <si>
    <t>T114</t>
  </si>
  <si>
    <t>T214</t>
  </si>
  <si>
    <t>T314</t>
  </si>
  <si>
    <t>T414</t>
  </si>
  <si>
    <t>T115</t>
  </si>
  <si>
    <t>T215</t>
  </si>
  <si>
    <t>T315</t>
  </si>
  <si>
    <t>T415</t>
  </si>
  <si>
    <t>T116</t>
  </si>
  <si>
    <t>T216</t>
  </si>
  <si>
    <t>T316</t>
  </si>
  <si>
    <t>T416</t>
  </si>
  <si>
    <t>T117</t>
  </si>
  <si>
    <t>T217</t>
  </si>
  <si>
    <t>T317</t>
  </si>
  <si>
    <t>T417</t>
  </si>
  <si>
    <t>T118</t>
  </si>
  <si>
    <t>T218</t>
  </si>
  <si>
    <t>T318</t>
  </si>
  <si>
    <t>T418</t>
  </si>
  <si>
    <t>T119</t>
  </si>
  <si>
    <t>T219</t>
  </si>
  <si>
    <t>T319</t>
  </si>
  <si>
    <t>T419</t>
  </si>
  <si>
    <t>T120</t>
  </si>
  <si>
    <t>T220</t>
  </si>
  <si>
    <t>T320</t>
  </si>
  <si>
    <t>T420</t>
  </si>
  <si>
    <t>T121</t>
  </si>
  <si>
    <t>T221</t>
  </si>
  <si>
    <t>T321</t>
  </si>
  <si>
    <t>T421</t>
  </si>
  <si>
    <t>T122</t>
  </si>
  <si>
    <t>T222</t>
  </si>
  <si>
    <t>T322</t>
  </si>
  <si>
    <t>T422</t>
  </si>
  <si>
    <t>T123</t>
  </si>
  <si>
    <t>INVESTMENT</t>
  </si>
  <si>
    <t>GROWTH</t>
  </si>
  <si>
    <t>PN02533AQ</t>
  </si>
  <si>
    <t>PN02538AQ</t>
  </si>
  <si>
    <t>Inversión bruta fija privada precios constantes en base al año 2007</t>
  </si>
  <si>
    <t>Producto Bruto Interno por método del gasto precios constantes en base al año 2007</t>
  </si>
  <si>
    <t>Índice del término "corrupción política" en el Perú extraída de Google Trends</t>
  </si>
  <si>
    <t>COUNTRY - RISK - PROMEDIO</t>
  </si>
  <si>
    <t>CORRUPTION - PROMEDIO</t>
  </si>
  <si>
    <t>COUNTRY_RISK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</si>
</sst>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2031-B0A5-4E4F-BC70-3366548C67D7}">
  <dimension ref="A1:E67"/>
  <sheetViews>
    <sheetView tabSelected="1" topLeftCell="A41" workbookViewId="0">
      <selection sqref="A1:E67"/>
    </sheetView>
  </sheetViews>
  <sheetFormatPr baseColWidth="10" defaultRowHeight="14.4" x14ac:dyDescent="0.3"/>
  <cols>
    <col min="2" max="2" width="12.109375" bestFit="1" customWidth="1"/>
    <col min="3" max="3" width="11.5546875" bestFit="1" customWidth="1"/>
    <col min="4" max="4" width="14.5546875" bestFit="1" customWidth="1"/>
    <col min="5" max="5" width="12.44140625" bestFit="1" customWidth="1"/>
  </cols>
  <sheetData>
    <row r="1" spans="1:5" x14ac:dyDescent="0.3">
      <c r="B1" s="1" t="s">
        <v>274</v>
      </c>
      <c r="C1" s="1" t="s">
        <v>275</v>
      </c>
      <c r="D1" t="s">
        <v>283</v>
      </c>
      <c r="E1" s="1" t="s">
        <v>207</v>
      </c>
    </row>
    <row r="2" spans="1:5" x14ac:dyDescent="0.3">
      <c r="A2" t="s">
        <v>208</v>
      </c>
      <c r="B2" s="3">
        <v>11970.134941538499</v>
      </c>
      <c r="C2" s="3">
        <v>76296.862183394507</v>
      </c>
      <c r="D2" s="3">
        <v>141.96825333333334</v>
      </c>
      <c r="E2" s="3">
        <v>16.333333333333332</v>
      </c>
    </row>
    <row r="3" spans="1:5" x14ac:dyDescent="0.3">
      <c r="A3" t="s">
        <v>209</v>
      </c>
      <c r="B3" s="3">
        <v>12071.9080323166</v>
      </c>
      <c r="C3" s="3">
        <v>73354.118000000002</v>
      </c>
      <c r="D3" s="3">
        <v>127.11548000000001</v>
      </c>
      <c r="E3" s="3">
        <v>8</v>
      </c>
    </row>
    <row r="4" spans="1:5" x14ac:dyDescent="0.3">
      <c r="A4" t="s">
        <v>210</v>
      </c>
      <c r="B4" s="3">
        <v>12465.3760683569</v>
      </c>
      <c r="C4" s="3">
        <v>80625.952999999994</v>
      </c>
      <c r="D4" s="3">
        <v>110.58247</v>
      </c>
      <c r="E4" s="3">
        <v>16</v>
      </c>
    </row>
    <row r="5" spans="1:5" x14ac:dyDescent="0.3">
      <c r="A5" t="s">
        <v>211</v>
      </c>
      <c r="B5" s="3">
        <v>14045.4894202903</v>
      </c>
      <c r="C5" s="3">
        <v>80699.631999999998</v>
      </c>
      <c r="D5" s="3">
        <v>151.17404333333334</v>
      </c>
      <c r="E5" s="3">
        <v>14.666666666666666</v>
      </c>
    </row>
    <row r="6" spans="1:5" x14ac:dyDescent="0.3">
      <c r="A6" t="s">
        <v>212</v>
      </c>
      <c r="B6" s="3">
        <v>15043.2253744178</v>
      </c>
      <c r="C6" s="3">
        <v>85013.297000000006</v>
      </c>
      <c r="D6" s="3">
        <v>162.71340666666666</v>
      </c>
      <c r="E6" s="3">
        <v>16</v>
      </c>
    </row>
    <row r="7" spans="1:5" x14ac:dyDescent="0.3">
      <c r="A7" t="s">
        <v>213</v>
      </c>
      <c r="B7" s="3">
        <v>14806.4173311265</v>
      </c>
      <c r="C7" s="3">
        <v>80792.367925221595</v>
      </c>
      <c r="D7" s="3">
        <v>208.54106000000002</v>
      </c>
      <c r="E7" s="3">
        <v>7.666666666666667</v>
      </c>
    </row>
    <row r="8" spans="1:5" x14ac:dyDescent="0.3">
      <c r="A8" t="s">
        <v>214</v>
      </c>
      <c r="B8" s="3">
        <v>16481.292381741099</v>
      </c>
      <c r="C8" s="3">
        <v>89107.914721936293</v>
      </c>
      <c r="D8" s="3">
        <v>165.44372333333334</v>
      </c>
      <c r="E8" s="3">
        <v>16</v>
      </c>
    </row>
    <row r="9" spans="1:5" x14ac:dyDescent="0.3">
      <c r="A9" t="s">
        <v>215</v>
      </c>
      <c r="B9" s="3">
        <v>17907.546874007501</v>
      </c>
      <c r="C9" s="3">
        <v>88428.033252541005</v>
      </c>
      <c r="D9" s="3">
        <v>216.15782000000002</v>
      </c>
      <c r="E9" s="3">
        <v>13.666666666666666</v>
      </c>
    </row>
    <row r="10" spans="1:5" x14ac:dyDescent="0.3">
      <c r="A10" t="s">
        <v>216</v>
      </c>
      <c r="B10" s="3">
        <v>17244.945877220802</v>
      </c>
      <c r="C10" s="3">
        <v>90517.748750085695</v>
      </c>
      <c r="D10" s="3">
        <v>502.59709999999995</v>
      </c>
      <c r="E10" s="3">
        <v>26.333333333333332</v>
      </c>
    </row>
    <row r="11" spans="1:5" x14ac:dyDescent="0.3">
      <c r="A11" t="s">
        <v>217</v>
      </c>
      <c r="B11" s="3">
        <v>14748.120257888</v>
      </c>
      <c r="C11" s="3">
        <v>82889.151996689703</v>
      </c>
      <c r="D11" s="3">
        <v>430.49545333333327</v>
      </c>
      <c r="E11" s="3">
        <v>10.666666666666666</v>
      </c>
    </row>
    <row r="12" spans="1:5" x14ac:dyDescent="0.3">
      <c r="A12" t="s">
        <v>218</v>
      </c>
      <c r="B12" s="3">
        <v>13848.4458348263</v>
      </c>
      <c r="C12" s="3">
        <v>88453.932566581905</v>
      </c>
      <c r="D12" s="3">
        <v>303.14718666666664</v>
      </c>
      <c r="E12" s="3">
        <v>19.666666666666668</v>
      </c>
    </row>
    <row r="13" spans="1:5" x14ac:dyDescent="0.3">
      <c r="A13" t="s">
        <v>219</v>
      </c>
      <c r="B13" s="3">
        <v>15611.2366968364</v>
      </c>
      <c r="C13" s="3">
        <v>88339.057862082904</v>
      </c>
      <c r="D13" s="3">
        <v>246.73913000000002</v>
      </c>
      <c r="E13" s="3">
        <v>15.666666666666666</v>
      </c>
    </row>
    <row r="14" spans="1:5" x14ac:dyDescent="0.3">
      <c r="A14" t="s">
        <v>220</v>
      </c>
      <c r="B14" s="3">
        <v>16358.009199599101</v>
      </c>
      <c r="C14" s="3">
        <v>92987.912074786902</v>
      </c>
      <c r="D14" s="3">
        <v>187.99516666666668</v>
      </c>
      <c r="E14" s="3">
        <v>22</v>
      </c>
    </row>
    <row r="15" spans="1:5" x14ac:dyDescent="0.3">
      <c r="A15" t="s">
        <v>221</v>
      </c>
      <c r="B15" s="3">
        <v>17021.9879659695</v>
      </c>
      <c r="C15" s="3">
        <v>87433.277540164607</v>
      </c>
      <c r="D15" s="3">
        <v>178.71901333333335</v>
      </c>
      <c r="E15" s="3">
        <v>11</v>
      </c>
    </row>
    <row r="16" spans="1:5" x14ac:dyDescent="0.3">
      <c r="A16" t="s">
        <v>222</v>
      </c>
      <c r="B16" s="3">
        <v>18039.033986491799</v>
      </c>
      <c r="C16" s="3">
        <v>96785.709887258403</v>
      </c>
      <c r="D16" s="3">
        <v>184.13275333333334</v>
      </c>
      <c r="E16" s="3">
        <v>29</v>
      </c>
    </row>
    <row r="17" spans="1:5" x14ac:dyDescent="0.3">
      <c r="A17" t="s">
        <v>223</v>
      </c>
      <c r="B17" s="3">
        <v>20170.9194863919</v>
      </c>
      <c r="C17" s="3">
        <v>96792.351852670603</v>
      </c>
      <c r="D17" s="3">
        <v>170.10606333333337</v>
      </c>
      <c r="E17" s="3">
        <v>23.333333333333332</v>
      </c>
    </row>
    <row r="18" spans="1:5" x14ac:dyDescent="0.3">
      <c r="A18" t="s">
        <v>224</v>
      </c>
      <c r="B18" s="3">
        <v>20934.784509606499</v>
      </c>
      <c r="C18" s="3">
        <v>101052.38023296501</v>
      </c>
      <c r="D18" s="3">
        <v>155.14379666666667</v>
      </c>
      <c r="E18" s="3">
        <v>21.666666666666668</v>
      </c>
    </row>
    <row r="19" spans="1:5" x14ac:dyDescent="0.3">
      <c r="A19" t="s">
        <v>225</v>
      </c>
      <c r="B19" s="3">
        <v>19496.111927548998</v>
      </c>
      <c r="C19" s="3">
        <v>94788.464758230097</v>
      </c>
      <c r="D19" s="3">
        <v>149.48468</v>
      </c>
      <c r="E19" s="3">
        <v>12.333333333333334</v>
      </c>
    </row>
    <row r="20" spans="1:5" x14ac:dyDescent="0.3">
      <c r="A20" t="s">
        <v>226</v>
      </c>
      <c r="B20" s="3">
        <v>20241.270029940999</v>
      </c>
      <c r="C20" s="3">
        <v>101898.019726759</v>
      </c>
      <c r="D20" s="3">
        <v>190.83189000000002</v>
      </c>
      <c r="E20" s="3">
        <v>27.333333333333332</v>
      </c>
    </row>
    <row r="21" spans="1:5" x14ac:dyDescent="0.3">
      <c r="A21" t="s">
        <v>227</v>
      </c>
      <c r="B21" s="3">
        <v>21950.339389102999</v>
      </c>
      <c r="C21" s="3">
        <v>102416.544670588</v>
      </c>
      <c r="D21" s="3">
        <v>202.62563666666668</v>
      </c>
      <c r="E21" s="3">
        <v>20.666666666666668</v>
      </c>
    </row>
    <row r="22" spans="1:5" x14ac:dyDescent="0.3">
      <c r="A22" t="s">
        <v>228</v>
      </c>
      <c r="B22" s="3">
        <v>22830.232161430999</v>
      </c>
      <c r="C22" s="3">
        <v>107124.993714011</v>
      </c>
      <c r="D22" s="3">
        <v>220.81745999999998</v>
      </c>
      <c r="E22" s="3">
        <v>17.666666666666668</v>
      </c>
    </row>
    <row r="23" spans="1:5" x14ac:dyDescent="0.3">
      <c r="A23" t="s">
        <v>229</v>
      </c>
      <c r="B23" s="3">
        <v>22569.308328327399</v>
      </c>
      <c r="C23" s="3">
        <v>100582.471835987</v>
      </c>
      <c r="D23" s="3">
        <v>194.74603333333334</v>
      </c>
      <c r="E23" s="3">
        <v>12</v>
      </c>
    </row>
    <row r="24" spans="1:5" x14ac:dyDescent="0.3">
      <c r="A24" t="s">
        <v>230</v>
      </c>
      <c r="B24" s="3">
        <v>23743.326443845501</v>
      </c>
      <c r="C24" s="3">
        <v>107907.29028694201</v>
      </c>
      <c r="D24" s="3">
        <v>177.69772333333333</v>
      </c>
      <c r="E24" s="3">
        <v>20</v>
      </c>
    </row>
    <row r="25" spans="1:5" x14ac:dyDescent="0.3">
      <c r="A25" t="s">
        <v>231</v>
      </c>
      <c r="B25" s="3">
        <v>25225.3185830031</v>
      </c>
      <c r="C25" s="3">
        <v>109606.954953101</v>
      </c>
      <c r="D25" s="3">
        <v>139.90711333333334</v>
      </c>
      <c r="E25" s="3">
        <v>16.333333333333332</v>
      </c>
    </row>
    <row r="26" spans="1:5" x14ac:dyDescent="0.3">
      <c r="A26" t="s">
        <v>232</v>
      </c>
      <c r="B26" s="3">
        <v>26186.476094172602</v>
      </c>
      <c r="C26" s="3">
        <v>113083.466049882</v>
      </c>
      <c r="D26" s="3">
        <v>116.06283666666667</v>
      </c>
      <c r="E26" s="3">
        <v>17.666666666666668</v>
      </c>
    </row>
    <row r="27" spans="1:5" x14ac:dyDescent="0.3">
      <c r="A27" t="s">
        <v>233</v>
      </c>
      <c r="B27" s="3">
        <v>25325.4751975773</v>
      </c>
      <c r="C27" s="3">
        <v>105589.199376783</v>
      </c>
      <c r="D27" s="3">
        <v>125.79306333333334</v>
      </c>
      <c r="E27" s="3">
        <v>11</v>
      </c>
    </row>
    <row r="28" spans="1:5" x14ac:dyDescent="0.3">
      <c r="A28" t="s">
        <v>234</v>
      </c>
      <c r="B28" s="3">
        <v>26259.277891634702</v>
      </c>
      <c r="C28" s="3">
        <v>114667.733157401</v>
      </c>
      <c r="D28" s="3">
        <v>148.69486000000001</v>
      </c>
      <c r="E28" s="3">
        <v>19.666666666666668</v>
      </c>
    </row>
    <row r="29" spans="1:5" x14ac:dyDescent="0.3">
      <c r="A29" t="s">
        <v>235</v>
      </c>
      <c r="B29" s="3">
        <v>26473.486398741399</v>
      </c>
      <c r="C29" s="3">
        <v>115335.70467237099</v>
      </c>
      <c r="D29" s="3">
        <v>183.20734999999999</v>
      </c>
      <c r="E29" s="3">
        <v>19.333333333333332</v>
      </c>
    </row>
    <row r="30" spans="1:5" x14ac:dyDescent="0.3">
      <c r="A30" t="s">
        <v>236</v>
      </c>
      <c r="B30" s="3">
        <v>26603.243603031999</v>
      </c>
      <c r="C30" s="3">
        <v>120819.087282704</v>
      </c>
      <c r="D30" s="3">
        <v>177.61452999999997</v>
      </c>
      <c r="E30" s="3">
        <v>20</v>
      </c>
    </row>
    <row r="31" spans="1:5" x14ac:dyDescent="0.3">
      <c r="A31" t="s">
        <v>237</v>
      </c>
      <c r="B31" s="3">
        <v>25057.8537844905</v>
      </c>
      <c r="C31" s="3">
        <v>110822.52456479501</v>
      </c>
      <c r="D31" s="3">
        <v>175.1627</v>
      </c>
      <c r="E31" s="3">
        <v>10.666666666666666</v>
      </c>
    </row>
    <row r="32" spans="1:5" x14ac:dyDescent="0.3">
      <c r="A32" t="s">
        <v>238</v>
      </c>
      <c r="B32" s="3">
        <v>25849.1042278768</v>
      </c>
      <c r="C32" s="3">
        <v>116915.37710281</v>
      </c>
      <c r="D32" s="3">
        <v>149.46103666666667</v>
      </c>
      <c r="E32" s="3">
        <v>23.333333333333332</v>
      </c>
    </row>
    <row r="33" spans="1:5" x14ac:dyDescent="0.3">
      <c r="A33" t="s">
        <v>239</v>
      </c>
      <c r="B33" s="3">
        <v>25371.4081804794</v>
      </c>
      <c r="C33" s="3">
        <v>117439.17286977</v>
      </c>
      <c r="D33" s="3">
        <v>151.10511999999997</v>
      </c>
      <c r="E33" s="3">
        <v>22.666666666666668</v>
      </c>
    </row>
    <row r="34" spans="1:5" x14ac:dyDescent="0.3">
      <c r="A34" t="s">
        <v>240</v>
      </c>
      <c r="B34" s="3">
        <v>26264.045358233201</v>
      </c>
      <c r="C34" s="3">
        <v>122114.101794656</v>
      </c>
      <c r="D34" s="3">
        <v>172.50797</v>
      </c>
      <c r="E34" s="3">
        <v>23.666666666666668</v>
      </c>
    </row>
    <row r="35" spans="1:5" x14ac:dyDescent="0.3">
      <c r="A35" t="s">
        <v>241</v>
      </c>
      <c r="B35" s="3">
        <v>24122.600479126198</v>
      </c>
      <c r="C35" s="3">
        <v>112960.26194944201</v>
      </c>
      <c r="D35" s="3">
        <v>189.51060666666669</v>
      </c>
      <c r="E35" s="3">
        <v>12.333333333333334</v>
      </c>
    </row>
    <row r="36" spans="1:5" x14ac:dyDescent="0.3">
      <c r="A36" t="s">
        <v>242</v>
      </c>
      <c r="B36" s="3">
        <v>23737.8636258109</v>
      </c>
      <c r="C36" s="3">
        <v>120623.990275574</v>
      </c>
      <c r="D36" s="3">
        <v>173.11977000000002</v>
      </c>
      <c r="E36" s="3">
        <v>20.666666666666668</v>
      </c>
    </row>
    <row r="37" spans="1:5" x14ac:dyDescent="0.3">
      <c r="A37" t="s">
        <v>243</v>
      </c>
      <c r="B37" s="3">
        <v>24414.016802962102</v>
      </c>
      <c r="C37" s="3">
        <v>121146.06525828999</v>
      </c>
      <c r="D37" s="3">
        <v>212.81485666666666</v>
      </c>
      <c r="E37" s="3">
        <v>20.666666666666668</v>
      </c>
    </row>
    <row r="38" spans="1:5" x14ac:dyDescent="0.3">
      <c r="A38" t="s">
        <v>244</v>
      </c>
      <c r="B38" s="3">
        <v>25826.550458564601</v>
      </c>
      <c r="C38" s="3">
        <v>127756.19945990499</v>
      </c>
      <c r="D38" s="3">
        <v>227.15534000000002</v>
      </c>
      <c r="E38" s="3">
        <v>22</v>
      </c>
    </row>
    <row r="39" spans="1:5" x14ac:dyDescent="0.3">
      <c r="A39" t="s">
        <v>245</v>
      </c>
      <c r="B39" s="3">
        <v>23189.314261657801</v>
      </c>
      <c r="C39" s="3">
        <v>118029.990107255</v>
      </c>
      <c r="D39" s="3">
        <v>258.75234666666665</v>
      </c>
      <c r="E39" s="3">
        <v>18</v>
      </c>
    </row>
    <row r="40" spans="1:5" x14ac:dyDescent="0.3">
      <c r="A40" t="s">
        <v>246</v>
      </c>
      <c r="B40" s="3">
        <v>22675.6398285389</v>
      </c>
      <c r="C40" s="3">
        <v>125145.55270395899</v>
      </c>
      <c r="D40" s="3">
        <v>209.30375333333333</v>
      </c>
      <c r="E40" s="3">
        <v>31.333333333333332</v>
      </c>
    </row>
    <row r="41" spans="1:5" x14ac:dyDescent="0.3">
      <c r="A41" t="s">
        <v>247</v>
      </c>
      <c r="B41" s="3">
        <v>22486.3857011664</v>
      </c>
      <c r="C41" s="3">
        <v>126731.476345559</v>
      </c>
      <c r="D41" s="3">
        <v>171.85730333333333</v>
      </c>
      <c r="E41" s="3">
        <v>21</v>
      </c>
    </row>
    <row r="42" spans="1:5" x14ac:dyDescent="0.3">
      <c r="A42" t="s">
        <v>248</v>
      </c>
      <c r="B42" s="3">
        <v>24807.749293451099</v>
      </c>
      <c r="C42" s="3">
        <v>131656.50692488899</v>
      </c>
      <c r="D42" s="3">
        <v>159.68975333333333</v>
      </c>
      <c r="E42" s="3">
        <v>28.333333333333332</v>
      </c>
    </row>
    <row r="43" spans="1:5" x14ac:dyDescent="0.3">
      <c r="A43" t="s">
        <v>249</v>
      </c>
      <c r="B43" s="3">
        <v>21813.9928872241</v>
      </c>
      <c r="C43" s="3">
        <v>120740.65399999999</v>
      </c>
      <c r="D43" s="3">
        <v>150.16407322654467</v>
      </c>
      <c r="E43" s="3">
        <v>26</v>
      </c>
    </row>
    <row r="44" spans="1:5" x14ac:dyDescent="0.3">
      <c r="A44" t="s">
        <v>250</v>
      </c>
      <c r="B44" s="3">
        <v>21855.890654862</v>
      </c>
      <c r="C44" s="3">
        <v>128455.253</v>
      </c>
      <c r="D44" s="3">
        <v>144.70875420875402</v>
      </c>
      <c r="E44" s="3">
        <v>41.666666666666664</v>
      </c>
    </row>
    <row r="45" spans="1:5" x14ac:dyDescent="0.3">
      <c r="A45" t="s">
        <v>251</v>
      </c>
      <c r="B45" s="3">
        <v>23682.2505731288</v>
      </c>
      <c r="C45" s="3">
        <v>130293.94</v>
      </c>
      <c r="D45" s="3">
        <v>147.09710144927533</v>
      </c>
      <c r="E45" s="3">
        <v>33.333333333333336</v>
      </c>
    </row>
    <row r="46" spans="1:5" x14ac:dyDescent="0.3">
      <c r="A46" t="s">
        <v>252</v>
      </c>
      <c r="B46" s="3">
        <v>25847.143872729899</v>
      </c>
      <c r="C46" s="3">
        <v>134725.15299999999</v>
      </c>
      <c r="D46" s="3">
        <v>138.19285714285732</v>
      </c>
      <c r="E46" s="3">
        <v>41</v>
      </c>
    </row>
    <row r="47" spans="1:5" x14ac:dyDescent="0.3">
      <c r="A47" t="s">
        <v>253</v>
      </c>
      <c r="B47" s="3">
        <v>23069.239883363702</v>
      </c>
      <c r="C47" s="3">
        <v>124547.622</v>
      </c>
      <c r="D47" s="3">
        <v>131.95138339920967</v>
      </c>
      <c r="E47" s="3">
        <v>27</v>
      </c>
    </row>
    <row r="48" spans="1:5" x14ac:dyDescent="0.3">
      <c r="A48" t="s">
        <v>254</v>
      </c>
      <c r="B48" s="3">
        <v>23771.967742559798</v>
      </c>
      <c r="C48" s="3">
        <v>135645.614</v>
      </c>
      <c r="D48" s="3">
        <v>155.42236024844701</v>
      </c>
      <c r="E48" s="3">
        <v>47.666666666666664</v>
      </c>
    </row>
    <row r="49" spans="1:5" x14ac:dyDescent="0.3">
      <c r="A49" t="s">
        <v>255</v>
      </c>
      <c r="B49" s="3">
        <v>24048.218085207602</v>
      </c>
      <c r="C49" s="3">
        <v>133481.75599999999</v>
      </c>
      <c r="D49" s="3">
        <v>146.70513833992069</v>
      </c>
      <c r="E49" s="3">
        <v>79.333333333333329</v>
      </c>
    </row>
    <row r="50" spans="1:5" x14ac:dyDescent="0.3">
      <c r="A50" t="s">
        <v>256</v>
      </c>
      <c r="B50" s="3">
        <v>26136.959642674501</v>
      </c>
      <c r="C50" s="3">
        <v>140951.008</v>
      </c>
      <c r="D50" s="3">
        <v>154.78960411569099</v>
      </c>
      <c r="E50" s="3">
        <v>57.333333333333336</v>
      </c>
    </row>
    <row r="51" spans="1:5" x14ac:dyDescent="0.3">
      <c r="A51" t="s">
        <v>257</v>
      </c>
      <c r="B51" s="3">
        <v>23739.7068992272</v>
      </c>
      <c r="C51" s="3">
        <v>127523.85</v>
      </c>
      <c r="D51" s="3">
        <v>142.51932367149766</v>
      </c>
      <c r="E51" s="3">
        <v>28</v>
      </c>
    </row>
    <row r="52" spans="1:5" x14ac:dyDescent="0.3">
      <c r="A52" t="s">
        <v>258</v>
      </c>
      <c r="B52" s="3">
        <v>25103.899126851498</v>
      </c>
      <c r="C52" s="3">
        <v>137191.76300000001</v>
      </c>
      <c r="D52" s="3">
        <v>129.06976284584968</v>
      </c>
      <c r="E52" s="3">
        <v>52.333333333333336</v>
      </c>
    </row>
    <row r="53" spans="1:5" x14ac:dyDescent="0.3">
      <c r="A53" t="s">
        <v>259</v>
      </c>
      <c r="B53" s="3">
        <v>26236.401373987901</v>
      </c>
      <c r="C53" s="3">
        <v>138009.198</v>
      </c>
      <c r="D53" s="3">
        <v>119.88330510069632</v>
      </c>
      <c r="E53" s="3">
        <v>44.333333333333336</v>
      </c>
    </row>
    <row r="54" spans="1:5" x14ac:dyDescent="0.3">
      <c r="A54" t="s">
        <v>260</v>
      </c>
      <c r="B54" s="3">
        <v>26326.102466677101</v>
      </c>
      <c r="C54" s="3">
        <v>143880.18900000001</v>
      </c>
      <c r="D54" s="3">
        <v>123.194679716419</v>
      </c>
      <c r="E54" s="3">
        <v>54.666666666666664</v>
      </c>
    </row>
    <row r="55" spans="1:5" x14ac:dyDescent="0.3">
      <c r="A55" t="s">
        <v>261</v>
      </c>
      <c r="B55" s="3">
        <v>20318.513591892501</v>
      </c>
      <c r="C55" s="3">
        <v>123063.595</v>
      </c>
      <c r="D55" s="3">
        <v>161.65955204216067</v>
      </c>
      <c r="E55" s="3">
        <v>18.666666666666668</v>
      </c>
    </row>
    <row r="56" spans="1:5" x14ac:dyDescent="0.3">
      <c r="A56" t="s">
        <v>262</v>
      </c>
      <c r="B56" s="3">
        <v>10784.957455506001</v>
      </c>
      <c r="C56" s="3">
        <v>95967.483999999997</v>
      </c>
      <c r="D56" s="3">
        <v>226.81363636363631</v>
      </c>
      <c r="E56" s="3">
        <v>36.333333333333336</v>
      </c>
    </row>
    <row r="57" spans="1:5" x14ac:dyDescent="0.3">
      <c r="A57" t="s">
        <v>263</v>
      </c>
      <c r="B57" s="3">
        <v>24269.470052067001</v>
      </c>
      <c r="C57" s="3">
        <v>125941.44</v>
      </c>
      <c r="D57" s="3">
        <v>158.46442687747069</v>
      </c>
      <c r="E57" s="3">
        <v>39.333333333333336</v>
      </c>
    </row>
    <row r="58" spans="1:5" x14ac:dyDescent="0.3">
      <c r="A58" t="s">
        <v>264</v>
      </c>
      <c r="B58" s="3">
        <v>29281.148234842</v>
      </c>
      <c r="C58" s="3">
        <v>141764.481</v>
      </c>
      <c r="D58" s="3">
        <v>146.828722002635</v>
      </c>
      <c r="E58" s="3">
        <v>36</v>
      </c>
    </row>
    <row r="59" spans="1:5" x14ac:dyDescent="0.3">
      <c r="A59" t="s">
        <v>265</v>
      </c>
      <c r="B59" s="3">
        <v>27864.714489124799</v>
      </c>
      <c r="C59" s="3">
        <v>128265.17</v>
      </c>
      <c r="D59" s="3">
        <v>144.93533471359567</v>
      </c>
      <c r="E59" s="3">
        <v>20.666666666666668</v>
      </c>
    </row>
    <row r="60" spans="1:5" x14ac:dyDescent="0.3">
      <c r="A60" t="s">
        <v>266</v>
      </c>
      <c r="B60" s="3">
        <v>28334.814070983299</v>
      </c>
      <c r="C60" s="3">
        <v>136398.125</v>
      </c>
      <c r="D60" s="3">
        <v>165.766233766234</v>
      </c>
      <c r="E60" s="3">
        <v>45</v>
      </c>
    </row>
    <row r="61" spans="1:5" x14ac:dyDescent="0.3">
      <c r="A61" t="s">
        <v>267</v>
      </c>
      <c r="B61" s="3">
        <v>29727.308346521299</v>
      </c>
      <c r="C61" s="3">
        <v>140624.82399999999</v>
      </c>
      <c r="D61" s="3">
        <v>175.66666666666666</v>
      </c>
      <c r="E61" s="3">
        <v>29</v>
      </c>
    </row>
    <row r="62" spans="1:5" x14ac:dyDescent="0.3">
      <c r="A62" t="s">
        <v>268</v>
      </c>
      <c r="B62" s="3">
        <v>30002.439755767598</v>
      </c>
      <c r="C62" s="3">
        <v>146425.88099999999</v>
      </c>
      <c r="D62" s="3">
        <v>175.09567726959031</v>
      </c>
      <c r="E62" s="3">
        <v>31.666666666666668</v>
      </c>
    </row>
    <row r="63" spans="1:5" x14ac:dyDescent="0.3">
      <c r="A63" t="s">
        <v>269</v>
      </c>
      <c r="B63" s="3">
        <v>28314.7350354808</v>
      </c>
      <c r="C63" s="3">
        <v>133284.72700000001</v>
      </c>
      <c r="D63" s="3">
        <v>191.75034506556267</v>
      </c>
      <c r="E63" s="3">
        <v>5.333333333333333</v>
      </c>
    </row>
    <row r="64" spans="1:5" x14ac:dyDescent="0.3">
      <c r="A64" t="s">
        <v>270</v>
      </c>
      <c r="B64" s="3">
        <v>28778.0866690562</v>
      </c>
      <c r="C64" s="3">
        <v>140994.75200000001</v>
      </c>
      <c r="D64" s="3">
        <v>205.91919191919234</v>
      </c>
      <c r="E64" s="3">
        <v>11</v>
      </c>
    </row>
    <row r="65" spans="1:5" x14ac:dyDescent="0.3">
      <c r="A65" t="s">
        <v>271</v>
      </c>
      <c r="B65" s="3">
        <v>29567.367947029299</v>
      </c>
      <c r="C65" s="3">
        <v>143375.54199999999</v>
      </c>
      <c r="D65" s="3">
        <v>223.90067532467535</v>
      </c>
      <c r="E65" s="3">
        <v>11</v>
      </c>
    </row>
    <row r="66" spans="1:5" x14ac:dyDescent="0.3">
      <c r="A66" t="s">
        <v>272</v>
      </c>
      <c r="B66" s="3">
        <v>28774.3227946312</v>
      </c>
      <c r="C66" s="3">
        <v>148859.43299999999</v>
      </c>
      <c r="D66" s="3">
        <v>213.83133477633467</v>
      </c>
      <c r="E66" s="3">
        <v>12.666666666666666</v>
      </c>
    </row>
    <row r="67" spans="1:5" x14ac:dyDescent="0.3">
      <c r="A67" t="s">
        <v>273</v>
      </c>
      <c r="B67" s="3">
        <v>24903.543563003099</v>
      </c>
      <c r="C67" s="3">
        <v>132712.9749301</v>
      </c>
      <c r="D67" s="3">
        <v>201.057180500659</v>
      </c>
      <c r="E67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workbookViewId="0">
      <selection sqref="A1:XFD1"/>
    </sheetView>
  </sheetViews>
  <sheetFormatPr baseColWidth="10" defaultColWidth="8.88671875" defaultRowHeight="14.4" x14ac:dyDescent="0.3"/>
  <cols>
    <col min="2" max="2" width="14.33203125" bestFit="1" customWidth="1"/>
    <col min="3" max="3" width="12.21875" bestFit="1" customWidth="1"/>
    <col min="4" max="4" width="25.33203125" bestFit="1" customWidth="1"/>
    <col min="5" max="5" width="23.21875" bestFit="1" customWidth="1"/>
  </cols>
  <sheetData>
    <row r="1" spans="1:5" x14ac:dyDescent="0.3">
      <c r="B1" t="s">
        <v>206</v>
      </c>
      <c r="C1" s="1" t="s">
        <v>207</v>
      </c>
      <c r="D1" s="1" t="s">
        <v>281</v>
      </c>
      <c r="E1" s="1" t="s">
        <v>282</v>
      </c>
    </row>
    <row r="2" spans="1:5" x14ac:dyDescent="0.3">
      <c r="A2" t="s">
        <v>1</v>
      </c>
      <c r="B2" s="2">
        <v>148.22727</v>
      </c>
      <c r="C2" s="2">
        <v>16</v>
      </c>
    </row>
    <row r="3" spans="1:5" x14ac:dyDescent="0.3">
      <c r="A3" t="s">
        <v>2</v>
      </c>
      <c r="B3" s="2">
        <v>146.77273</v>
      </c>
      <c r="C3" s="2">
        <v>19</v>
      </c>
    </row>
    <row r="4" spans="1:5" x14ac:dyDescent="0.3">
      <c r="A4" t="s">
        <v>3</v>
      </c>
      <c r="B4" s="2">
        <v>130.90476000000001</v>
      </c>
      <c r="C4" s="2">
        <v>14</v>
      </c>
      <c r="D4" s="3">
        <f>+AVERAGE(B2:B4)</f>
        <v>141.96825333333334</v>
      </c>
      <c r="E4" s="3">
        <f>+AVERAGE(C2:C4)</f>
        <v>16.333333333333332</v>
      </c>
    </row>
    <row r="5" spans="1:5" x14ac:dyDescent="0.3">
      <c r="A5" t="s">
        <v>4</v>
      </c>
      <c r="B5" s="2">
        <v>122.47826000000001</v>
      </c>
      <c r="C5" s="2">
        <v>5</v>
      </c>
      <c r="D5" s="3"/>
      <c r="E5" s="3"/>
    </row>
    <row r="6" spans="1:5" x14ac:dyDescent="0.3">
      <c r="A6" t="s">
        <v>5</v>
      </c>
      <c r="B6" s="2">
        <v>127.05</v>
      </c>
      <c r="C6" s="2">
        <v>8</v>
      </c>
      <c r="D6" s="3"/>
      <c r="E6" s="3"/>
    </row>
    <row r="7" spans="1:5" x14ac:dyDescent="0.3">
      <c r="A7" t="s">
        <v>6</v>
      </c>
      <c r="B7" s="2">
        <v>131.81818000000001</v>
      </c>
      <c r="C7" s="2">
        <v>11</v>
      </c>
      <c r="D7" s="3">
        <f>+AVERAGE(B5:B7)</f>
        <v>127.11548000000001</v>
      </c>
      <c r="E7" s="3">
        <f>+AVERAGE(C5:C7)</f>
        <v>8</v>
      </c>
    </row>
    <row r="8" spans="1:5" x14ac:dyDescent="0.3">
      <c r="A8" t="s">
        <v>7</v>
      </c>
      <c r="B8" s="2">
        <v>118.14286</v>
      </c>
      <c r="C8" s="2">
        <v>15</v>
      </c>
      <c r="D8" s="3"/>
      <c r="E8" s="3"/>
    </row>
    <row r="9" spans="1:5" x14ac:dyDescent="0.3">
      <c r="A9" t="s">
        <v>8</v>
      </c>
      <c r="B9" s="2">
        <v>109.65217</v>
      </c>
      <c r="C9" s="2">
        <v>16</v>
      </c>
      <c r="D9" s="3"/>
      <c r="E9" s="3"/>
    </row>
    <row r="10" spans="1:5" x14ac:dyDescent="0.3">
      <c r="A10" t="s">
        <v>9</v>
      </c>
      <c r="B10" s="2">
        <v>103.95238000000001</v>
      </c>
      <c r="C10" s="2">
        <v>17</v>
      </c>
      <c r="D10" s="3">
        <f>+AVERAGE(B8:B10)</f>
        <v>110.58247</v>
      </c>
      <c r="E10" s="3">
        <f t="shared" ref="E10" si="0">+AVERAGE(C8:C10)</f>
        <v>16</v>
      </c>
    </row>
    <row r="11" spans="1:5" x14ac:dyDescent="0.3">
      <c r="A11" t="s">
        <v>10</v>
      </c>
      <c r="B11" s="2">
        <v>128.90908999999999</v>
      </c>
      <c r="C11" s="2">
        <v>14</v>
      </c>
      <c r="D11" s="3"/>
      <c r="E11" s="3"/>
    </row>
    <row r="12" spans="1:5" x14ac:dyDescent="0.3">
      <c r="A12" t="s">
        <v>11</v>
      </c>
      <c r="B12" s="2">
        <v>168.91304</v>
      </c>
      <c r="C12" s="2">
        <v>13</v>
      </c>
      <c r="D12" s="3"/>
      <c r="E12" s="3"/>
    </row>
    <row r="13" spans="1:5" x14ac:dyDescent="0.3">
      <c r="A13" t="s">
        <v>12</v>
      </c>
      <c r="B13" s="2">
        <v>155.69999999999999</v>
      </c>
      <c r="C13" s="2">
        <v>17</v>
      </c>
      <c r="D13" s="3">
        <f>+AVERAGE(B11:B13)</f>
        <v>151.17404333333334</v>
      </c>
      <c r="E13" s="3">
        <f t="shared" ref="E13" si="1">+AVERAGE(C11:C13)</f>
        <v>14.666666666666666</v>
      </c>
    </row>
    <row r="14" spans="1:5" x14ac:dyDescent="0.3">
      <c r="A14" t="s">
        <v>13</v>
      </c>
      <c r="B14" s="2">
        <v>138.3913</v>
      </c>
      <c r="C14" s="2">
        <v>16</v>
      </c>
      <c r="D14" s="3"/>
      <c r="E14" s="3"/>
    </row>
    <row r="15" spans="1:5" x14ac:dyDescent="0.3">
      <c r="A15" t="s">
        <v>14</v>
      </c>
      <c r="B15" s="2">
        <v>175.27273</v>
      </c>
      <c r="C15" s="2">
        <v>20</v>
      </c>
      <c r="D15" s="3"/>
      <c r="E15" s="3"/>
    </row>
    <row r="16" spans="1:5" x14ac:dyDescent="0.3">
      <c r="A16" t="s">
        <v>15</v>
      </c>
      <c r="B16" s="2">
        <v>174.47619</v>
      </c>
      <c r="C16" s="2">
        <v>12</v>
      </c>
      <c r="D16" s="3">
        <f t="shared" ref="D16" si="2">+AVERAGE(B14:B16)</f>
        <v>162.71340666666666</v>
      </c>
      <c r="E16" s="3">
        <f t="shared" ref="E16" si="3">+AVERAGE(C14:C16)</f>
        <v>16</v>
      </c>
    </row>
    <row r="17" spans="1:5" x14ac:dyDescent="0.3">
      <c r="A17" t="s">
        <v>16</v>
      </c>
      <c r="B17" s="2">
        <v>194.95652000000001</v>
      </c>
      <c r="C17" s="2">
        <v>9</v>
      </c>
      <c r="D17" s="3"/>
      <c r="E17" s="3"/>
    </row>
    <row r="18" spans="1:5" x14ac:dyDescent="0.3">
      <c r="A18" t="s">
        <v>17</v>
      </c>
      <c r="B18" s="2">
        <v>208.90476000000001</v>
      </c>
      <c r="C18" s="2">
        <v>6</v>
      </c>
      <c r="D18" s="3"/>
      <c r="E18" s="3"/>
    </row>
    <row r="19" spans="1:5" x14ac:dyDescent="0.3">
      <c r="A19" t="s">
        <v>18</v>
      </c>
      <c r="B19" s="2">
        <v>221.7619</v>
      </c>
      <c r="C19" s="2">
        <v>8</v>
      </c>
      <c r="D19" s="3">
        <f t="shared" ref="D19" si="4">+AVERAGE(B17:B19)</f>
        <v>208.54106000000002</v>
      </c>
      <c r="E19" s="3">
        <f t="shared" ref="E19" si="5">+AVERAGE(C17:C19)</f>
        <v>7.666666666666667</v>
      </c>
    </row>
    <row r="20" spans="1:5" x14ac:dyDescent="0.3">
      <c r="A20" t="s">
        <v>19</v>
      </c>
      <c r="B20" s="2">
        <v>181.59091000000001</v>
      </c>
      <c r="C20" s="2">
        <v>15</v>
      </c>
      <c r="D20" s="3"/>
      <c r="E20" s="3"/>
    </row>
    <row r="21" spans="1:5" x14ac:dyDescent="0.3">
      <c r="A21" t="s">
        <v>20</v>
      </c>
      <c r="B21" s="2">
        <v>154.45455000000001</v>
      </c>
      <c r="C21" s="2">
        <v>17</v>
      </c>
      <c r="D21" s="3"/>
      <c r="E21" s="3"/>
    </row>
    <row r="22" spans="1:5" x14ac:dyDescent="0.3">
      <c r="A22" t="s">
        <v>21</v>
      </c>
      <c r="B22" s="2">
        <v>160.28570999999999</v>
      </c>
      <c r="C22" s="2">
        <v>16</v>
      </c>
      <c r="D22" s="3">
        <f t="shared" ref="D22" si="6">+AVERAGE(B20:B22)</f>
        <v>165.44372333333334</v>
      </c>
      <c r="E22" s="3">
        <f t="shared" ref="E22" si="7">+AVERAGE(C20:C22)</f>
        <v>16</v>
      </c>
    </row>
    <row r="23" spans="1:5" x14ac:dyDescent="0.3">
      <c r="A23" t="s">
        <v>22</v>
      </c>
      <c r="B23" s="2">
        <v>197.86957000000001</v>
      </c>
      <c r="C23" s="2">
        <v>11</v>
      </c>
      <c r="D23" s="3"/>
      <c r="E23" s="3"/>
    </row>
    <row r="24" spans="1:5" x14ac:dyDescent="0.3">
      <c r="A24" t="s">
        <v>23</v>
      </c>
      <c r="B24" s="2">
        <v>195.28570999999999</v>
      </c>
      <c r="C24" s="2">
        <v>13</v>
      </c>
      <c r="D24" s="3"/>
      <c r="E24" s="3"/>
    </row>
    <row r="25" spans="1:5" x14ac:dyDescent="0.3">
      <c r="A25" t="s">
        <v>24</v>
      </c>
      <c r="B25" s="2">
        <v>255.31818000000001</v>
      </c>
      <c r="C25" s="2">
        <v>17</v>
      </c>
      <c r="D25" s="3">
        <f t="shared" ref="D25" si="8">+AVERAGE(B23:B25)</f>
        <v>216.15782000000002</v>
      </c>
      <c r="E25" s="3">
        <f t="shared" ref="E25" si="9">+AVERAGE(C23:C25)</f>
        <v>13.666666666666666</v>
      </c>
    </row>
    <row r="26" spans="1:5" x14ac:dyDescent="0.3">
      <c r="A26" t="s">
        <v>25</v>
      </c>
      <c r="B26" s="2">
        <v>500.47825999999998</v>
      </c>
      <c r="C26" s="2">
        <v>35</v>
      </c>
      <c r="D26" s="3"/>
      <c r="E26" s="3"/>
    </row>
    <row r="27" spans="1:5" x14ac:dyDescent="0.3">
      <c r="A27" t="s">
        <v>26</v>
      </c>
      <c r="B27" s="2">
        <v>484.4</v>
      </c>
      <c r="C27" s="2">
        <v>27</v>
      </c>
      <c r="D27" s="3"/>
      <c r="E27" s="3"/>
    </row>
    <row r="28" spans="1:5" x14ac:dyDescent="0.3">
      <c r="A28" t="s">
        <v>27</v>
      </c>
      <c r="B28" s="2">
        <v>522.91304000000002</v>
      </c>
      <c r="C28" s="2">
        <v>17</v>
      </c>
      <c r="D28" s="3">
        <f t="shared" ref="D28" si="10">+AVERAGE(B26:B28)</f>
        <v>502.59709999999995</v>
      </c>
      <c r="E28" s="3">
        <f t="shared" ref="E28" si="11">+AVERAGE(C26:C28)</f>
        <v>26.333333333333332</v>
      </c>
    </row>
    <row r="29" spans="1:5" x14ac:dyDescent="0.3">
      <c r="A29" t="s">
        <v>28</v>
      </c>
      <c r="B29" s="2">
        <v>463.22726999999998</v>
      </c>
      <c r="C29" s="2">
        <v>12</v>
      </c>
      <c r="D29" s="3"/>
      <c r="E29" s="3"/>
    </row>
    <row r="30" spans="1:5" x14ac:dyDescent="0.3">
      <c r="A30" t="s">
        <v>29</v>
      </c>
      <c r="B30" s="2">
        <v>419.35</v>
      </c>
      <c r="C30" s="2">
        <v>7</v>
      </c>
      <c r="D30" s="3"/>
      <c r="E30" s="3"/>
    </row>
    <row r="31" spans="1:5" x14ac:dyDescent="0.3">
      <c r="A31" t="s">
        <v>30</v>
      </c>
      <c r="B31" s="2">
        <v>408.90908999999999</v>
      </c>
      <c r="C31" s="2">
        <v>13</v>
      </c>
      <c r="D31" s="3">
        <f t="shared" ref="D31" si="12">+AVERAGE(B29:B31)</f>
        <v>430.49545333333327</v>
      </c>
      <c r="E31" s="3">
        <f t="shared" ref="E31" si="13">+AVERAGE(C29:C31)</f>
        <v>10.666666666666666</v>
      </c>
    </row>
    <row r="32" spans="1:5" x14ac:dyDescent="0.3">
      <c r="A32" t="s">
        <v>31</v>
      </c>
      <c r="B32" s="2">
        <v>360.22726999999998</v>
      </c>
      <c r="C32" s="2">
        <v>14</v>
      </c>
      <c r="D32" s="3"/>
      <c r="E32" s="3"/>
    </row>
    <row r="33" spans="1:5" x14ac:dyDescent="0.3">
      <c r="A33" t="s">
        <v>32</v>
      </c>
      <c r="B33" s="2">
        <v>291.71429000000001</v>
      </c>
      <c r="C33" s="2">
        <v>22</v>
      </c>
      <c r="D33" s="3"/>
      <c r="E33" s="3"/>
    </row>
    <row r="34" spans="1:5" x14ac:dyDescent="0.3">
      <c r="A34" t="s">
        <v>33</v>
      </c>
      <c r="B34" s="2">
        <v>257.5</v>
      </c>
      <c r="C34" s="2">
        <v>23</v>
      </c>
      <c r="D34" s="3">
        <f t="shared" ref="D34" si="14">+AVERAGE(B32:B34)</f>
        <v>303.14718666666664</v>
      </c>
      <c r="E34" s="3">
        <f t="shared" ref="E34" si="15">+AVERAGE(C32:C34)</f>
        <v>19.666666666666668</v>
      </c>
    </row>
    <row r="35" spans="1:5" x14ac:dyDescent="0.3">
      <c r="A35" t="s">
        <v>34</v>
      </c>
      <c r="B35" s="2">
        <v>274.21739000000002</v>
      </c>
      <c r="C35" s="2">
        <v>12</v>
      </c>
      <c r="D35" s="3"/>
      <c r="E35" s="3"/>
    </row>
    <row r="36" spans="1:5" x14ac:dyDescent="0.3">
      <c r="A36" t="s">
        <v>35</v>
      </c>
      <c r="B36" s="2">
        <v>240</v>
      </c>
      <c r="C36" s="2">
        <v>15</v>
      </c>
      <c r="D36" s="3"/>
      <c r="E36" s="3"/>
    </row>
    <row r="37" spans="1:5" x14ac:dyDescent="0.3">
      <c r="A37" t="s">
        <v>36</v>
      </c>
      <c r="B37" s="2">
        <v>226</v>
      </c>
      <c r="C37" s="2">
        <v>20</v>
      </c>
      <c r="D37" s="3">
        <f t="shared" ref="D37" si="16">+AVERAGE(B35:B37)</f>
        <v>246.73913000000002</v>
      </c>
      <c r="E37" s="3">
        <f t="shared" ref="E37" si="17">+AVERAGE(C35:C37)</f>
        <v>15.666666666666666</v>
      </c>
    </row>
    <row r="38" spans="1:5" x14ac:dyDescent="0.3">
      <c r="A38" t="s">
        <v>37</v>
      </c>
      <c r="B38" s="2">
        <v>195</v>
      </c>
      <c r="C38" s="2">
        <v>21</v>
      </c>
      <c r="D38" s="3"/>
      <c r="E38" s="3"/>
    </row>
    <row r="39" spans="1:5" x14ac:dyDescent="0.3">
      <c r="A39" t="s">
        <v>38</v>
      </c>
      <c r="B39" s="2">
        <v>190.33332999999999</v>
      </c>
      <c r="C39" s="2">
        <v>27</v>
      </c>
      <c r="D39" s="3"/>
      <c r="E39" s="3"/>
    </row>
    <row r="40" spans="1:5" x14ac:dyDescent="0.3">
      <c r="A40" t="s">
        <v>39</v>
      </c>
      <c r="B40" s="2">
        <v>178.65217000000001</v>
      </c>
      <c r="C40" s="2">
        <v>18</v>
      </c>
      <c r="D40" s="3">
        <f t="shared" ref="D40" si="18">+AVERAGE(B38:B40)</f>
        <v>187.99516666666668</v>
      </c>
      <c r="E40" s="3">
        <f t="shared" ref="E40" si="19">+AVERAGE(C38:C40)</f>
        <v>22</v>
      </c>
    </row>
    <row r="41" spans="1:5" x14ac:dyDescent="0.3">
      <c r="A41" t="s">
        <v>40</v>
      </c>
      <c r="B41" s="2">
        <v>178.38095000000001</v>
      </c>
      <c r="C41" s="2">
        <v>9</v>
      </c>
      <c r="D41" s="3"/>
      <c r="E41" s="3"/>
    </row>
    <row r="42" spans="1:5" x14ac:dyDescent="0.3">
      <c r="A42" t="s">
        <v>41</v>
      </c>
      <c r="B42" s="2">
        <v>199.95</v>
      </c>
      <c r="C42" s="2">
        <v>11</v>
      </c>
      <c r="D42" s="3"/>
      <c r="E42" s="3"/>
    </row>
    <row r="43" spans="1:5" x14ac:dyDescent="0.3">
      <c r="A43" t="s">
        <v>42</v>
      </c>
      <c r="B43" s="2">
        <v>157.82608999999999</v>
      </c>
      <c r="C43" s="2">
        <v>13</v>
      </c>
      <c r="D43" s="3">
        <f t="shared" ref="D43" si="20">+AVERAGE(B41:B43)</f>
        <v>178.71901333333335</v>
      </c>
      <c r="E43" s="3">
        <f t="shared" ref="E43" si="21">+AVERAGE(C41:C43)</f>
        <v>11</v>
      </c>
    </row>
    <row r="44" spans="1:5" x14ac:dyDescent="0.3">
      <c r="A44" t="s">
        <v>43</v>
      </c>
      <c r="B44" s="2">
        <v>143.81818000000001</v>
      </c>
      <c r="C44" s="2">
        <v>21</v>
      </c>
      <c r="D44" s="3"/>
      <c r="E44" s="3"/>
    </row>
    <row r="45" spans="1:5" x14ac:dyDescent="0.3">
      <c r="A45" t="s">
        <v>44</v>
      </c>
      <c r="B45" s="2">
        <v>201.7619</v>
      </c>
      <c r="C45" s="2">
        <v>33</v>
      </c>
      <c r="D45" s="3"/>
      <c r="E45" s="3"/>
    </row>
    <row r="46" spans="1:5" x14ac:dyDescent="0.3">
      <c r="A46" t="s">
        <v>45</v>
      </c>
      <c r="B46" s="2">
        <v>206.81818000000001</v>
      </c>
      <c r="C46" s="2">
        <v>33</v>
      </c>
      <c r="D46" s="3">
        <f t="shared" ref="D46" si="22">+AVERAGE(B44:B46)</f>
        <v>184.13275333333334</v>
      </c>
      <c r="E46" s="3">
        <f t="shared" ref="E46" si="23">+AVERAGE(C44:C46)</f>
        <v>29</v>
      </c>
    </row>
    <row r="47" spans="1:5" x14ac:dyDescent="0.3">
      <c r="A47" t="s">
        <v>46</v>
      </c>
      <c r="B47" s="2">
        <v>186.77273</v>
      </c>
      <c r="C47" s="2">
        <v>24</v>
      </c>
      <c r="D47" s="3"/>
      <c r="E47" s="3"/>
    </row>
    <row r="48" spans="1:5" x14ac:dyDescent="0.3">
      <c r="A48" t="s">
        <v>47</v>
      </c>
      <c r="B48" s="2">
        <v>156.59091000000001</v>
      </c>
      <c r="C48" s="2">
        <v>21</v>
      </c>
      <c r="D48" s="3"/>
      <c r="E48" s="3"/>
    </row>
    <row r="49" spans="1:5" x14ac:dyDescent="0.3">
      <c r="A49" t="s">
        <v>48</v>
      </c>
      <c r="B49" s="2">
        <v>166.95455000000001</v>
      </c>
      <c r="C49" s="2">
        <v>25</v>
      </c>
      <c r="D49" s="3">
        <f t="shared" ref="D49" si="24">+AVERAGE(B47:B49)</f>
        <v>170.10606333333337</v>
      </c>
      <c r="E49" s="3">
        <f t="shared" ref="E49" si="25">+AVERAGE(C47:C49)</f>
        <v>23.333333333333332</v>
      </c>
    </row>
    <row r="50" spans="1:5" x14ac:dyDescent="0.3">
      <c r="A50" t="s">
        <v>49</v>
      </c>
      <c r="B50" s="2">
        <v>157.14286000000001</v>
      </c>
      <c r="C50" s="2">
        <v>20</v>
      </c>
      <c r="D50" s="3"/>
      <c r="E50" s="3"/>
    </row>
    <row r="51" spans="1:5" x14ac:dyDescent="0.3">
      <c r="A51" t="s">
        <v>50</v>
      </c>
      <c r="B51" s="2">
        <v>151.63636</v>
      </c>
      <c r="C51" s="2">
        <v>26</v>
      </c>
      <c r="D51" s="3"/>
      <c r="E51" s="3"/>
    </row>
    <row r="52" spans="1:5" x14ac:dyDescent="0.3">
      <c r="A52" t="s">
        <v>51</v>
      </c>
      <c r="B52" s="2">
        <v>156.65217000000001</v>
      </c>
      <c r="C52" s="2">
        <v>19</v>
      </c>
      <c r="D52" s="3">
        <f t="shared" ref="D52" si="26">+AVERAGE(B50:B52)</f>
        <v>155.14379666666667</v>
      </c>
      <c r="E52" s="3">
        <f t="shared" ref="E52" si="27">+AVERAGE(C50:C52)</f>
        <v>21.666666666666668</v>
      </c>
    </row>
    <row r="53" spans="1:5" x14ac:dyDescent="0.3">
      <c r="A53" t="s">
        <v>52</v>
      </c>
      <c r="B53" s="2">
        <v>145.57142999999999</v>
      </c>
      <c r="C53" s="2">
        <v>10</v>
      </c>
      <c r="D53" s="3"/>
      <c r="E53" s="3"/>
    </row>
    <row r="54" spans="1:5" x14ac:dyDescent="0.3">
      <c r="A54" t="s">
        <v>53</v>
      </c>
      <c r="B54" s="2">
        <v>146.1</v>
      </c>
      <c r="C54" s="2">
        <v>12</v>
      </c>
      <c r="D54" s="3"/>
      <c r="E54" s="3"/>
    </row>
    <row r="55" spans="1:5" x14ac:dyDescent="0.3">
      <c r="A55" t="s">
        <v>54</v>
      </c>
      <c r="B55" s="2">
        <v>156.78261000000001</v>
      </c>
      <c r="C55" s="2">
        <v>15</v>
      </c>
      <c r="D55" s="3">
        <f t="shared" ref="D55" si="28">+AVERAGE(B53:B55)</f>
        <v>149.48468</v>
      </c>
      <c r="E55" s="3">
        <f t="shared" ref="E55" si="29">+AVERAGE(C53:C55)</f>
        <v>12.333333333333334</v>
      </c>
    </row>
    <row r="56" spans="1:5" x14ac:dyDescent="0.3">
      <c r="A56" t="s">
        <v>55</v>
      </c>
      <c r="B56" s="2">
        <v>192.90476000000001</v>
      </c>
      <c r="C56" s="2">
        <v>24</v>
      </c>
      <c r="D56" s="3"/>
      <c r="E56" s="3"/>
    </row>
    <row r="57" spans="1:5" x14ac:dyDescent="0.3">
      <c r="A57" t="s">
        <v>56</v>
      </c>
      <c r="B57" s="2">
        <v>187.22727</v>
      </c>
      <c r="C57" s="2">
        <v>27</v>
      </c>
      <c r="D57" s="3"/>
      <c r="E57" s="3"/>
    </row>
    <row r="58" spans="1:5" x14ac:dyDescent="0.3">
      <c r="A58" t="s">
        <v>57</v>
      </c>
      <c r="B58" s="2">
        <v>192.36364</v>
      </c>
      <c r="C58" s="2">
        <v>31</v>
      </c>
      <c r="D58" s="3">
        <f t="shared" ref="D58" si="30">+AVERAGE(B56:B58)</f>
        <v>190.83189000000002</v>
      </c>
      <c r="E58" s="3">
        <f t="shared" ref="E58" si="31">+AVERAGE(C56:C58)</f>
        <v>27.333333333333332</v>
      </c>
    </row>
    <row r="59" spans="1:5" x14ac:dyDescent="0.3">
      <c r="A59" t="s">
        <v>58</v>
      </c>
      <c r="B59" s="2">
        <v>170.85713999999999</v>
      </c>
      <c r="C59" s="2">
        <v>19</v>
      </c>
      <c r="D59" s="3"/>
      <c r="E59" s="3"/>
    </row>
    <row r="60" spans="1:5" x14ac:dyDescent="0.3">
      <c r="A60" t="s">
        <v>59</v>
      </c>
      <c r="B60" s="2">
        <v>199.56522000000001</v>
      </c>
      <c r="C60" s="2">
        <v>20</v>
      </c>
      <c r="D60" s="3"/>
      <c r="E60" s="3"/>
    </row>
    <row r="61" spans="1:5" x14ac:dyDescent="0.3">
      <c r="A61" t="s">
        <v>60</v>
      </c>
      <c r="B61" s="2">
        <v>237.45455000000001</v>
      </c>
      <c r="C61" s="2">
        <v>23</v>
      </c>
      <c r="D61" s="3">
        <f t="shared" ref="D61" si="32">+AVERAGE(B59:B61)</f>
        <v>202.62563666666668</v>
      </c>
      <c r="E61" s="3">
        <f t="shared" ref="E61" si="33">+AVERAGE(C59:C61)</f>
        <v>20.666666666666668</v>
      </c>
    </row>
    <row r="62" spans="1:5" x14ac:dyDescent="0.3">
      <c r="A62" t="s">
        <v>61</v>
      </c>
      <c r="B62" s="2">
        <v>231.95238000000001</v>
      </c>
      <c r="C62" s="2">
        <v>18</v>
      </c>
      <c r="D62" s="3"/>
      <c r="E62" s="3"/>
    </row>
    <row r="63" spans="1:5" x14ac:dyDescent="0.3">
      <c r="A63" t="s">
        <v>62</v>
      </c>
      <c r="B63" s="2">
        <v>214.18181999999999</v>
      </c>
      <c r="C63" s="2">
        <v>20</v>
      </c>
      <c r="D63" s="3"/>
      <c r="E63" s="3"/>
    </row>
    <row r="64" spans="1:5" x14ac:dyDescent="0.3">
      <c r="A64" t="s">
        <v>63</v>
      </c>
      <c r="B64" s="2">
        <v>216.31818000000001</v>
      </c>
      <c r="C64" s="2">
        <v>15</v>
      </c>
      <c r="D64" s="3">
        <f t="shared" ref="D64" si="34">+AVERAGE(B62:B64)</f>
        <v>220.81745999999998</v>
      </c>
      <c r="E64" s="3">
        <f t="shared" ref="E64" si="35">+AVERAGE(C62:C64)</f>
        <v>17.666666666666668</v>
      </c>
    </row>
    <row r="65" spans="1:5" x14ac:dyDescent="0.3">
      <c r="A65" t="s">
        <v>64</v>
      </c>
      <c r="B65" s="2">
        <v>219.40908999999999</v>
      </c>
      <c r="C65" s="2">
        <v>12</v>
      </c>
      <c r="D65" s="3"/>
      <c r="E65" s="3"/>
    </row>
    <row r="66" spans="1:5" x14ac:dyDescent="0.3">
      <c r="A66" t="s">
        <v>65</v>
      </c>
      <c r="B66" s="2">
        <v>199.2381</v>
      </c>
      <c r="C66" s="2">
        <v>11</v>
      </c>
      <c r="D66" s="3"/>
      <c r="E66" s="3"/>
    </row>
    <row r="67" spans="1:5" x14ac:dyDescent="0.3">
      <c r="A67" t="s">
        <v>66</v>
      </c>
      <c r="B67" s="2">
        <v>165.59091000000001</v>
      </c>
      <c r="C67" s="2">
        <v>13</v>
      </c>
      <c r="D67" s="3">
        <f t="shared" ref="D67" si="36">+AVERAGE(B65:B67)</f>
        <v>194.74603333333334</v>
      </c>
      <c r="E67" s="3">
        <f t="shared" ref="E67" si="37">+AVERAGE(C65:C67)</f>
        <v>12</v>
      </c>
    </row>
    <row r="68" spans="1:5" x14ac:dyDescent="0.3">
      <c r="A68" t="s">
        <v>67</v>
      </c>
      <c r="B68" s="2">
        <v>164.14286000000001</v>
      </c>
      <c r="C68" s="2">
        <v>16</v>
      </c>
      <c r="D68" s="3"/>
      <c r="E68" s="3"/>
    </row>
    <row r="69" spans="1:5" x14ac:dyDescent="0.3">
      <c r="A69" t="s">
        <v>68</v>
      </c>
      <c r="B69" s="2">
        <v>180.52173999999999</v>
      </c>
      <c r="C69" s="2">
        <v>22</v>
      </c>
      <c r="D69" s="3"/>
      <c r="E69" s="3"/>
    </row>
    <row r="70" spans="1:5" x14ac:dyDescent="0.3">
      <c r="A70" t="s">
        <v>69</v>
      </c>
      <c r="B70" s="2">
        <v>188.42857000000001</v>
      </c>
      <c r="C70" s="2">
        <v>22</v>
      </c>
      <c r="D70" s="3">
        <f t="shared" ref="D70" si="38">+AVERAGE(B68:B70)</f>
        <v>177.69772333333333</v>
      </c>
      <c r="E70" s="3">
        <f t="shared" ref="E70" si="39">+AVERAGE(C68:C70)</f>
        <v>20</v>
      </c>
    </row>
    <row r="71" spans="1:5" x14ac:dyDescent="0.3">
      <c r="A71" t="s">
        <v>70</v>
      </c>
      <c r="B71" s="2">
        <v>162.59091000000001</v>
      </c>
      <c r="C71" s="2">
        <v>19</v>
      </c>
      <c r="D71" s="3"/>
      <c r="E71" s="3"/>
    </row>
    <row r="72" spans="1:5" x14ac:dyDescent="0.3">
      <c r="A72" t="s">
        <v>71</v>
      </c>
      <c r="B72" s="2">
        <v>133.13042999999999</v>
      </c>
      <c r="C72" s="2">
        <v>14</v>
      </c>
      <c r="D72" s="3"/>
      <c r="E72" s="3"/>
    </row>
    <row r="73" spans="1:5" x14ac:dyDescent="0.3">
      <c r="A73" t="s">
        <v>72</v>
      </c>
      <c r="B73" s="2">
        <v>124</v>
      </c>
      <c r="C73" s="2">
        <v>16</v>
      </c>
      <c r="D73" s="3">
        <f t="shared" ref="D73" si="40">+AVERAGE(B71:B73)</f>
        <v>139.90711333333334</v>
      </c>
      <c r="E73" s="3">
        <f t="shared" ref="E73" si="41">+AVERAGE(C71:C73)</f>
        <v>16.333333333333332</v>
      </c>
    </row>
    <row r="74" spans="1:5" x14ac:dyDescent="0.3">
      <c r="A74" t="s">
        <v>73</v>
      </c>
      <c r="B74" s="2">
        <v>108.04348</v>
      </c>
      <c r="C74" s="2">
        <v>17</v>
      </c>
      <c r="D74" s="3"/>
      <c r="E74" s="3"/>
    </row>
    <row r="75" spans="1:5" x14ac:dyDescent="0.3">
      <c r="A75" t="s">
        <v>74</v>
      </c>
      <c r="B75" s="2">
        <v>122.95455</v>
      </c>
      <c r="C75" s="2">
        <v>19</v>
      </c>
      <c r="D75" s="3"/>
      <c r="E75" s="3"/>
    </row>
    <row r="76" spans="1:5" x14ac:dyDescent="0.3">
      <c r="A76" t="s">
        <v>75</v>
      </c>
      <c r="B76" s="2">
        <v>117.19047999999999</v>
      </c>
      <c r="C76" s="2">
        <v>17</v>
      </c>
      <c r="D76" s="3">
        <f t="shared" ref="D76" si="42">+AVERAGE(B74:B76)</f>
        <v>116.06283666666667</v>
      </c>
      <c r="E76" s="3">
        <f t="shared" ref="E76" si="43">+AVERAGE(C74:C76)</f>
        <v>17.666666666666668</v>
      </c>
    </row>
    <row r="77" spans="1:5" x14ac:dyDescent="0.3">
      <c r="A77" t="s">
        <v>76</v>
      </c>
      <c r="B77" s="2">
        <v>110.04348</v>
      </c>
      <c r="C77" s="2">
        <v>9</v>
      </c>
      <c r="D77" s="3"/>
      <c r="E77" s="3"/>
    </row>
    <row r="78" spans="1:5" x14ac:dyDescent="0.3">
      <c r="A78" t="s">
        <v>77</v>
      </c>
      <c r="B78" s="2">
        <v>127.05</v>
      </c>
      <c r="C78" s="2">
        <v>12</v>
      </c>
      <c r="D78" s="3"/>
      <c r="E78" s="3"/>
    </row>
    <row r="79" spans="1:5" x14ac:dyDescent="0.3">
      <c r="A79" t="s">
        <v>78</v>
      </c>
      <c r="B79" s="2">
        <v>140.28570999999999</v>
      </c>
      <c r="C79" s="2">
        <v>12</v>
      </c>
      <c r="D79" s="3">
        <f t="shared" ref="D79" si="44">+AVERAGE(B77:B79)</f>
        <v>125.79306333333334</v>
      </c>
      <c r="E79" s="3">
        <f t="shared" ref="E79" si="45">+AVERAGE(C77:C79)</f>
        <v>11</v>
      </c>
    </row>
    <row r="80" spans="1:5" x14ac:dyDescent="0.3">
      <c r="A80" t="s">
        <v>79</v>
      </c>
      <c r="B80" s="2">
        <v>132.54544999999999</v>
      </c>
      <c r="C80" s="2">
        <v>16</v>
      </c>
      <c r="D80" s="3"/>
      <c r="E80" s="3"/>
    </row>
    <row r="81" spans="1:5" x14ac:dyDescent="0.3">
      <c r="A81" t="s">
        <v>80</v>
      </c>
      <c r="B81" s="2">
        <v>133.73912999999999</v>
      </c>
      <c r="C81" s="2">
        <v>21</v>
      </c>
      <c r="D81" s="3"/>
      <c r="E81" s="3"/>
    </row>
    <row r="82" spans="1:5" x14ac:dyDescent="0.3">
      <c r="A82" t="s">
        <v>81</v>
      </c>
      <c r="B82" s="2">
        <v>179.8</v>
      </c>
      <c r="C82" s="2">
        <v>22</v>
      </c>
      <c r="D82" s="3">
        <f t="shared" ref="D82" si="46">+AVERAGE(B80:B82)</f>
        <v>148.69486000000001</v>
      </c>
      <c r="E82" s="3">
        <f t="shared" ref="E82" si="47">+AVERAGE(C80:C82)</f>
        <v>19.666666666666668</v>
      </c>
    </row>
    <row r="83" spans="1:5" x14ac:dyDescent="0.3">
      <c r="A83" t="s">
        <v>82</v>
      </c>
      <c r="B83" s="2">
        <v>175.69565</v>
      </c>
      <c r="C83" s="2">
        <v>20</v>
      </c>
      <c r="D83" s="3"/>
      <c r="E83" s="3"/>
    </row>
    <row r="84" spans="1:5" x14ac:dyDescent="0.3">
      <c r="A84" t="s">
        <v>83</v>
      </c>
      <c r="B84" s="2">
        <v>190.54544999999999</v>
      </c>
      <c r="C84" s="2">
        <v>17</v>
      </c>
      <c r="D84" s="3"/>
      <c r="E84" s="3"/>
    </row>
    <row r="85" spans="1:5" x14ac:dyDescent="0.3">
      <c r="A85" t="s">
        <v>84</v>
      </c>
      <c r="B85" s="2">
        <v>183.38095000000001</v>
      </c>
      <c r="C85" s="2">
        <v>21</v>
      </c>
      <c r="D85" s="3">
        <f t="shared" ref="D85" si="48">+AVERAGE(B83:B85)</f>
        <v>183.20734999999999</v>
      </c>
      <c r="E85" s="3">
        <f t="shared" ref="E85" si="49">+AVERAGE(C83:C85)</f>
        <v>19.333333333333332</v>
      </c>
    </row>
    <row r="86" spans="1:5" x14ac:dyDescent="0.3">
      <c r="A86" t="s">
        <v>85</v>
      </c>
      <c r="B86" s="2">
        <v>172.86957000000001</v>
      </c>
      <c r="C86" s="2">
        <v>20</v>
      </c>
      <c r="D86" s="3"/>
      <c r="E86" s="3"/>
    </row>
    <row r="87" spans="1:5" x14ac:dyDescent="0.3">
      <c r="A87" t="s">
        <v>86</v>
      </c>
      <c r="B87" s="2">
        <v>183.42857000000001</v>
      </c>
      <c r="C87" s="2">
        <v>23</v>
      </c>
      <c r="D87" s="3"/>
      <c r="E87" s="3"/>
    </row>
    <row r="88" spans="1:5" x14ac:dyDescent="0.3">
      <c r="A88" t="s">
        <v>87</v>
      </c>
      <c r="B88" s="2">
        <v>176.54544999999999</v>
      </c>
      <c r="C88" s="2">
        <v>17</v>
      </c>
      <c r="D88" s="3">
        <f t="shared" ref="D88" si="50">+AVERAGE(B86:B88)</f>
        <v>177.61452999999997</v>
      </c>
      <c r="E88" s="3">
        <f t="shared" ref="E88" si="51">+AVERAGE(C86:C88)</f>
        <v>20</v>
      </c>
    </row>
    <row r="89" spans="1:5" x14ac:dyDescent="0.3">
      <c r="A89" t="s">
        <v>88</v>
      </c>
      <c r="B89" s="2">
        <v>176</v>
      </c>
      <c r="C89" s="2">
        <v>9</v>
      </c>
      <c r="D89" s="3"/>
      <c r="E89" s="3"/>
    </row>
    <row r="90" spans="1:5" x14ac:dyDescent="0.3">
      <c r="A90" t="s">
        <v>89</v>
      </c>
      <c r="B90" s="2">
        <v>182.25</v>
      </c>
      <c r="C90" s="2">
        <v>10</v>
      </c>
      <c r="D90" s="3"/>
      <c r="E90" s="3"/>
    </row>
    <row r="91" spans="1:5" x14ac:dyDescent="0.3">
      <c r="A91" t="s">
        <v>90</v>
      </c>
      <c r="B91" s="2">
        <v>167.2381</v>
      </c>
      <c r="C91" s="2">
        <v>13</v>
      </c>
      <c r="D91" s="3">
        <f t="shared" ref="D91" si="52">+AVERAGE(B89:B91)</f>
        <v>175.1627</v>
      </c>
      <c r="E91" s="3">
        <f t="shared" ref="E91" si="53">+AVERAGE(C89:C91)</f>
        <v>10.666666666666666</v>
      </c>
    </row>
    <row r="92" spans="1:5" x14ac:dyDescent="0.3">
      <c r="A92" t="s">
        <v>91</v>
      </c>
      <c r="B92" s="2">
        <v>153.54544999999999</v>
      </c>
      <c r="C92" s="2">
        <v>17</v>
      </c>
      <c r="D92" s="3"/>
      <c r="E92" s="3"/>
    </row>
    <row r="93" spans="1:5" x14ac:dyDescent="0.3">
      <c r="A93" t="s">
        <v>92</v>
      </c>
      <c r="B93" s="2">
        <v>149.40908999999999</v>
      </c>
      <c r="C93" s="2">
        <v>22</v>
      </c>
      <c r="D93" s="3"/>
      <c r="E93" s="3"/>
    </row>
    <row r="94" spans="1:5" x14ac:dyDescent="0.3">
      <c r="A94" t="s">
        <v>93</v>
      </c>
      <c r="B94" s="2">
        <v>145.42857000000001</v>
      </c>
      <c r="C94" s="2">
        <v>31</v>
      </c>
      <c r="D94" s="3">
        <f t="shared" ref="D94" si="54">+AVERAGE(B92:B94)</f>
        <v>149.46103666666667</v>
      </c>
      <c r="E94" s="3">
        <f t="shared" ref="E94" si="55">+AVERAGE(C92:C94)</f>
        <v>23.333333333333332</v>
      </c>
    </row>
    <row r="95" spans="1:5" x14ac:dyDescent="0.3">
      <c r="A95" t="s">
        <v>94</v>
      </c>
      <c r="B95" s="2">
        <v>146.34782999999999</v>
      </c>
      <c r="C95" s="2">
        <v>23</v>
      </c>
      <c r="D95" s="3"/>
      <c r="E95" s="3"/>
    </row>
    <row r="96" spans="1:5" x14ac:dyDescent="0.3">
      <c r="A96" t="s">
        <v>95</v>
      </c>
      <c r="B96" s="2">
        <v>157.28570999999999</v>
      </c>
      <c r="C96" s="2">
        <v>20</v>
      </c>
      <c r="D96" s="3"/>
      <c r="E96" s="3"/>
    </row>
    <row r="97" spans="1:5" x14ac:dyDescent="0.3">
      <c r="A97" t="s">
        <v>96</v>
      </c>
      <c r="B97" s="2">
        <v>149.68181999999999</v>
      </c>
      <c r="C97" s="2">
        <v>25</v>
      </c>
      <c r="D97" s="3">
        <f t="shared" ref="D97" si="56">+AVERAGE(B95:B97)</f>
        <v>151.10511999999997</v>
      </c>
      <c r="E97" s="3">
        <f t="shared" ref="E97" si="57">+AVERAGE(C95:C97)</f>
        <v>22.666666666666668</v>
      </c>
    </row>
    <row r="98" spans="1:5" x14ac:dyDescent="0.3">
      <c r="A98" t="s">
        <v>97</v>
      </c>
      <c r="B98" s="2">
        <v>170.26087000000001</v>
      </c>
      <c r="C98" s="2">
        <v>25</v>
      </c>
      <c r="D98" s="3"/>
      <c r="E98" s="3"/>
    </row>
    <row r="99" spans="1:5" x14ac:dyDescent="0.3">
      <c r="A99" t="s">
        <v>98</v>
      </c>
      <c r="B99" s="2">
        <v>165.35</v>
      </c>
      <c r="C99" s="2">
        <v>27</v>
      </c>
      <c r="D99" s="3"/>
      <c r="E99" s="3"/>
    </row>
    <row r="100" spans="1:5" x14ac:dyDescent="0.3">
      <c r="A100" t="s">
        <v>99</v>
      </c>
      <c r="B100" s="2">
        <v>181.91304</v>
      </c>
      <c r="C100" s="2">
        <v>19</v>
      </c>
      <c r="D100" s="3">
        <f t="shared" ref="D100" si="58">+AVERAGE(B98:B100)</f>
        <v>172.50797</v>
      </c>
      <c r="E100" s="3">
        <f t="shared" ref="E100" si="59">+AVERAGE(C98:C100)</f>
        <v>23.666666666666668</v>
      </c>
    </row>
    <row r="101" spans="1:5" x14ac:dyDescent="0.3">
      <c r="A101" t="s">
        <v>100</v>
      </c>
      <c r="B101" s="2">
        <v>201.22727</v>
      </c>
      <c r="C101" s="2">
        <v>11</v>
      </c>
      <c r="D101" s="3"/>
      <c r="E101" s="3"/>
    </row>
    <row r="102" spans="1:5" x14ac:dyDescent="0.3">
      <c r="A102" t="s">
        <v>101</v>
      </c>
      <c r="B102" s="2">
        <v>182.85</v>
      </c>
      <c r="C102" s="2">
        <v>13</v>
      </c>
      <c r="D102" s="3"/>
      <c r="E102" s="3"/>
    </row>
    <row r="103" spans="1:5" x14ac:dyDescent="0.3">
      <c r="A103" t="s">
        <v>102</v>
      </c>
      <c r="B103" s="2">
        <v>184.45455000000001</v>
      </c>
      <c r="C103" s="2">
        <v>13</v>
      </c>
      <c r="D103" s="3">
        <f t="shared" ref="D103" si="60">+AVERAGE(B101:B103)</f>
        <v>189.51060666666669</v>
      </c>
      <c r="E103" s="3">
        <f t="shared" ref="E103" si="61">+AVERAGE(C101:C103)</f>
        <v>12.333333333333334</v>
      </c>
    </row>
    <row r="104" spans="1:5" x14ac:dyDescent="0.3">
      <c r="A104" t="s">
        <v>103</v>
      </c>
      <c r="B104" s="2">
        <v>176.95455000000001</v>
      </c>
      <c r="C104" s="2">
        <v>17</v>
      </c>
      <c r="D104" s="3"/>
      <c r="E104" s="3"/>
    </row>
    <row r="105" spans="1:5" x14ac:dyDescent="0.3">
      <c r="A105" t="s">
        <v>104</v>
      </c>
      <c r="B105" s="2">
        <v>165.90476000000001</v>
      </c>
      <c r="C105" s="2">
        <v>21</v>
      </c>
      <c r="D105" s="3"/>
      <c r="E105" s="3"/>
    </row>
    <row r="106" spans="1:5" x14ac:dyDescent="0.3">
      <c r="A106" t="s">
        <v>105</v>
      </c>
      <c r="B106" s="2">
        <v>176.5</v>
      </c>
      <c r="C106" s="2">
        <v>24</v>
      </c>
      <c r="D106" s="3">
        <f t="shared" ref="D106" si="62">+AVERAGE(B104:B106)</f>
        <v>173.11977000000002</v>
      </c>
      <c r="E106" s="3">
        <f t="shared" ref="E106" si="63">+AVERAGE(C104:C106)</f>
        <v>20.666666666666668</v>
      </c>
    </row>
    <row r="107" spans="1:5" x14ac:dyDescent="0.3">
      <c r="A107" t="s">
        <v>106</v>
      </c>
      <c r="B107" s="2">
        <v>186.69565</v>
      </c>
      <c r="C107" s="2">
        <v>21</v>
      </c>
      <c r="D107" s="3"/>
      <c r="E107" s="3"/>
    </row>
    <row r="108" spans="1:5" x14ac:dyDescent="0.3">
      <c r="A108" t="s">
        <v>107</v>
      </c>
      <c r="B108" s="2">
        <v>217.47619</v>
      </c>
      <c r="C108" s="2">
        <v>18</v>
      </c>
      <c r="D108" s="3"/>
      <c r="E108" s="3"/>
    </row>
    <row r="109" spans="1:5" x14ac:dyDescent="0.3">
      <c r="A109" t="s">
        <v>108</v>
      </c>
      <c r="B109" s="2">
        <v>234.27273</v>
      </c>
      <c r="C109" s="2">
        <v>23</v>
      </c>
      <c r="D109" s="3">
        <f t="shared" ref="D109" si="64">+AVERAGE(B107:B109)</f>
        <v>212.81485666666666</v>
      </c>
      <c r="E109" s="3">
        <f t="shared" ref="E109" si="65">+AVERAGE(C107:C109)</f>
        <v>20.666666666666668</v>
      </c>
    </row>
    <row r="110" spans="1:5" x14ac:dyDescent="0.3">
      <c r="A110" t="s">
        <v>109</v>
      </c>
      <c r="B110" s="2">
        <v>225.90908999999999</v>
      </c>
      <c r="C110" s="2">
        <v>22</v>
      </c>
      <c r="D110" s="3"/>
      <c r="E110" s="3"/>
    </row>
    <row r="111" spans="1:5" x14ac:dyDescent="0.3">
      <c r="A111" t="s">
        <v>110</v>
      </c>
      <c r="B111" s="2">
        <v>218.90476000000001</v>
      </c>
      <c r="C111" s="2">
        <v>26</v>
      </c>
      <c r="D111" s="3"/>
      <c r="E111" s="3"/>
    </row>
    <row r="112" spans="1:5" x14ac:dyDescent="0.3">
      <c r="A112" t="s">
        <v>111</v>
      </c>
      <c r="B112" s="2">
        <v>236.65217000000001</v>
      </c>
      <c r="C112" s="2">
        <v>18</v>
      </c>
      <c r="D112" s="3">
        <f t="shared" ref="D112" si="66">+AVERAGE(B110:B112)</f>
        <v>227.15534000000002</v>
      </c>
      <c r="E112" s="3">
        <f t="shared" ref="E112" si="67">+AVERAGE(C110:C112)</f>
        <v>22</v>
      </c>
    </row>
    <row r="113" spans="1:5" x14ac:dyDescent="0.3">
      <c r="A113" t="s">
        <v>112</v>
      </c>
      <c r="B113" s="2">
        <v>267.05</v>
      </c>
      <c r="C113" s="2">
        <v>16</v>
      </c>
      <c r="D113" s="3"/>
      <c r="E113" s="3"/>
    </row>
    <row r="114" spans="1:5" x14ac:dyDescent="0.3">
      <c r="A114" t="s">
        <v>113</v>
      </c>
      <c r="B114" s="2">
        <v>282.38094999999998</v>
      </c>
      <c r="C114" s="2">
        <v>18</v>
      </c>
      <c r="D114" s="3"/>
      <c r="E114" s="3"/>
    </row>
    <row r="115" spans="1:5" x14ac:dyDescent="0.3">
      <c r="A115" t="s">
        <v>114</v>
      </c>
      <c r="B115" s="2">
        <v>226.82608999999999</v>
      </c>
      <c r="C115" s="2">
        <v>20</v>
      </c>
      <c r="D115" s="3">
        <f t="shared" ref="D115" si="68">+AVERAGE(B113:B115)</f>
        <v>258.75234666666665</v>
      </c>
      <c r="E115" s="3">
        <f t="shared" ref="E115" si="69">+AVERAGE(C113:C115)</f>
        <v>18</v>
      </c>
    </row>
    <row r="116" spans="1:5" x14ac:dyDescent="0.3">
      <c r="A116" t="s">
        <v>115</v>
      </c>
      <c r="B116" s="2">
        <v>210.04761999999999</v>
      </c>
      <c r="C116" s="2">
        <v>32</v>
      </c>
      <c r="D116" s="3"/>
      <c r="E116" s="3"/>
    </row>
    <row r="117" spans="1:5" x14ac:dyDescent="0.3">
      <c r="A117" t="s">
        <v>116</v>
      </c>
      <c r="B117" s="2">
        <v>207.95455000000001</v>
      </c>
      <c r="C117" s="2">
        <v>31</v>
      </c>
      <c r="D117" s="3"/>
      <c r="E117" s="3"/>
    </row>
    <row r="118" spans="1:5" x14ac:dyDescent="0.3">
      <c r="A118" t="s">
        <v>117</v>
      </c>
      <c r="B118" s="2">
        <v>209.90908999999999</v>
      </c>
      <c r="C118" s="2">
        <v>31</v>
      </c>
      <c r="D118" s="3">
        <f t="shared" ref="D118" si="70">+AVERAGE(B116:B118)</f>
        <v>209.30375333333333</v>
      </c>
      <c r="E118" s="3">
        <f t="shared" ref="E118" si="71">+AVERAGE(C116:C118)</f>
        <v>31.333333333333332</v>
      </c>
    </row>
    <row r="119" spans="1:5" x14ac:dyDescent="0.3">
      <c r="A119" t="s">
        <v>118</v>
      </c>
      <c r="B119" s="2">
        <v>184.19048000000001</v>
      </c>
      <c r="C119" s="2">
        <v>22</v>
      </c>
      <c r="D119" s="3"/>
      <c r="E119" s="3"/>
    </row>
    <row r="120" spans="1:5" x14ac:dyDescent="0.3">
      <c r="A120" t="s">
        <v>119</v>
      </c>
      <c r="B120" s="2">
        <v>169.6087</v>
      </c>
      <c r="C120" s="2">
        <v>19</v>
      </c>
      <c r="D120" s="3"/>
      <c r="E120" s="3"/>
    </row>
    <row r="121" spans="1:5" x14ac:dyDescent="0.3">
      <c r="A121" t="s">
        <v>120</v>
      </c>
      <c r="B121" s="2">
        <v>161.77273</v>
      </c>
      <c r="C121" s="2">
        <v>22</v>
      </c>
      <c r="D121" s="3">
        <f t="shared" ref="D121" si="72">+AVERAGE(B119:B121)</f>
        <v>171.85730333333333</v>
      </c>
      <c r="E121" s="3">
        <f t="shared" ref="E121" si="73">+AVERAGE(C119:C121)</f>
        <v>21</v>
      </c>
    </row>
    <row r="122" spans="1:5" x14ac:dyDescent="0.3">
      <c r="A122" t="s">
        <v>121</v>
      </c>
      <c r="B122" s="2">
        <v>146.52381</v>
      </c>
      <c r="C122" s="2">
        <v>33</v>
      </c>
      <c r="D122" s="3"/>
      <c r="E122" s="3"/>
    </row>
    <row r="123" spans="1:5" x14ac:dyDescent="0.3">
      <c r="A123" t="s">
        <v>122</v>
      </c>
      <c r="B123" s="2">
        <v>167.81818000000001</v>
      </c>
      <c r="C123" s="2">
        <v>31</v>
      </c>
      <c r="D123" s="3"/>
      <c r="E123" s="3"/>
    </row>
    <row r="124" spans="1:5" x14ac:dyDescent="0.3">
      <c r="A124" t="s">
        <v>123</v>
      </c>
      <c r="B124" s="2">
        <v>164.72727</v>
      </c>
      <c r="C124" s="2">
        <v>21</v>
      </c>
      <c r="D124" s="3">
        <f t="shared" ref="D124" si="74">+AVERAGE(B122:B124)</f>
        <v>159.68975333333333</v>
      </c>
      <c r="E124" s="3">
        <f t="shared" ref="E124" si="75">+AVERAGE(C122:C124)</f>
        <v>28.333333333333332</v>
      </c>
    </row>
    <row r="125" spans="1:5" x14ac:dyDescent="0.3">
      <c r="A125" t="s">
        <v>124</v>
      </c>
      <c r="B125" s="2">
        <v>157.30000000000001</v>
      </c>
      <c r="C125" s="2">
        <v>21</v>
      </c>
      <c r="D125" s="3"/>
      <c r="E125" s="3"/>
    </row>
    <row r="126" spans="1:5" x14ac:dyDescent="0.3">
      <c r="A126" t="s">
        <v>125</v>
      </c>
      <c r="B126" s="2">
        <v>152.105263157895</v>
      </c>
      <c r="C126" s="2">
        <v>31</v>
      </c>
      <c r="D126" s="3"/>
      <c r="E126" s="3"/>
    </row>
    <row r="127" spans="1:5" x14ac:dyDescent="0.3">
      <c r="A127" t="s">
        <v>126</v>
      </c>
      <c r="B127" s="2">
        <v>141.08695652173901</v>
      </c>
      <c r="C127" s="2">
        <v>26</v>
      </c>
      <c r="D127" s="3">
        <f t="shared" ref="D127" si="76">+AVERAGE(B125:B127)</f>
        <v>150.16407322654467</v>
      </c>
      <c r="E127" s="3">
        <f t="shared" ref="E127" si="77">+AVERAGE(C125:C127)</f>
        <v>26</v>
      </c>
    </row>
    <row r="128" spans="1:5" x14ac:dyDescent="0.3">
      <c r="A128" t="s">
        <v>127</v>
      </c>
      <c r="B128" s="2">
        <v>149.444444444444</v>
      </c>
      <c r="C128" s="2">
        <v>42</v>
      </c>
      <c r="D128" s="3"/>
      <c r="E128" s="3"/>
    </row>
    <row r="129" spans="1:5" x14ac:dyDescent="0.3">
      <c r="A129" t="s">
        <v>128</v>
      </c>
      <c r="B129" s="2">
        <v>141.18181818181799</v>
      </c>
      <c r="C129" s="2">
        <v>43</v>
      </c>
      <c r="D129" s="3"/>
      <c r="E129" s="3"/>
    </row>
    <row r="130" spans="1:5" x14ac:dyDescent="0.3">
      <c r="A130" t="s">
        <v>129</v>
      </c>
      <c r="B130" s="2">
        <v>143.5</v>
      </c>
      <c r="C130" s="2">
        <v>40</v>
      </c>
      <c r="D130" s="3">
        <f t="shared" ref="D130" si="78">+AVERAGE(B128:B130)</f>
        <v>144.70875420875402</v>
      </c>
      <c r="E130" s="3">
        <f t="shared" ref="E130" si="79">+AVERAGE(C128:C130)</f>
        <v>41.666666666666664</v>
      </c>
    </row>
    <row r="131" spans="1:5" x14ac:dyDescent="0.3">
      <c r="A131" t="s">
        <v>130</v>
      </c>
      <c r="B131" s="2">
        <v>141.9</v>
      </c>
      <c r="C131" s="2">
        <v>37</v>
      </c>
      <c r="D131" s="3"/>
      <c r="E131" s="3"/>
    </row>
    <row r="132" spans="1:5" x14ac:dyDescent="0.3">
      <c r="A132" t="s">
        <v>131</v>
      </c>
      <c r="B132" s="2">
        <v>155.39130434782601</v>
      </c>
      <c r="C132" s="2">
        <v>27</v>
      </c>
      <c r="D132" s="3"/>
      <c r="E132" s="3"/>
    </row>
    <row r="133" spans="1:5" x14ac:dyDescent="0.3">
      <c r="A133" t="s">
        <v>132</v>
      </c>
      <c r="B133" s="2">
        <v>144</v>
      </c>
      <c r="C133" s="2">
        <v>36</v>
      </c>
      <c r="D133" s="3">
        <f t="shared" ref="D133" si="80">+AVERAGE(B131:B133)</f>
        <v>147.09710144927533</v>
      </c>
      <c r="E133" s="3">
        <f t="shared" ref="E133" si="81">+AVERAGE(C131:C133)</f>
        <v>33.333333333333336</v>
      </c>
    </row>
    <row r="134" spans="1:5" x14ac:dyDescent="0.3">
      <c r="A134" t="s">
        <v>133</v>
      </c>
      <c r="B134" s="2">
        <v>139.61904761904799</v>
      </c>
      <c r="C134" s="2">
        <v>35</v>
      </c>
      <c r="D134" s="3"/>
      <c r="E134" s="3"/>
    </row>
    <row r="135" spans="1:5" x14ac:dyDescent="0.3">
      <c r="A135" t="s">
        <v>134</v>
      </c>
      <c r="B135" s="2">
        <v>138.80952380952399</v>
      </c>
      <c r="C135" s="2">
        <v>45</v>
      </c>
      <c r="D135" s="3"/>
      <c r="E135" s="3"/>
    </row>
    <row r="136" spans="1:5" x14ac:dyDescent="0.3">
      <c r="A136" t="s">
        <v>135</v>
      </c>
      <c r="B136" s="2">
        <v>136.15</v>
      </c>
      <c r="C136" s="2">
        <v>43</v>
      </c>
      <c r="D136" s="3">
        <f t="shared" ref="D136" si="82">+AVERAGE(B134:B136)</f>
        <v>138.19285714285732</v>
      </c>
      <c r="E136" s="3">
        <f t="shared" ref="E136" si="83">+AVERAGE(C134:C136)</f>
        <v>41</v>
      </c>
    </row>
    <row r="137" spans="1:5" x14ac:dyDescent="0.3">
      <c r="A137" t="s">
        <v>136</v>
      </c>
      <c r="B137" s="2">
        <v>116.60869565217401</v>
      </c>
      <c r="C137" s="2">
        <v>21</v>
      </c>
      <c r="D137" s="3"/>
      <c r="E137" s="3"/>
    </row>
    <row r="138" spans="1:5" x14ac:dyDescent="0.3">
      <c r="A138" t="s">
        <v>137</v>
      </c>
      <c r="B138" s="2">
        <v>132.19999999999999</v>
      </c>
      <c r="C138" s="2">
        <v>20</v>
      </c>
      <c r="D138" s="3"/>
      <c r="E138" s="3"/>
    </row>
    <row r="139" spans="1:5" x14ac:dyDescent="0.3">
      <c r="A139" t="s">
        <v>138</v>
      </c>
      <c r="B139" s="2">
        <v>147.04545454545499</v>
      </c>
      <c r="C139" s="2">
        <v>40</v>
      </c>
      <c r="D139" s="3">
        <f t="shared" ref="D139" si="84">+AVERAGE(B137:B139)</f>
        <v>131.95138339920967</v>
      </c>
      <c r="E139" s="3">
        <f t="shared" ref="E139" si="85">+AVERAGE(C137:C139)</f>
        <v>27</v>
      </c>
    </row>
    <row r="140" spans="1:5" x14ac:dyDescent="0.3">
      <c r="A140" t="s">
        <v>139</v>
      </c>
      <c r="B140" s="2">
        <v>145.23809523809501</v>
      </c>
      <c r="C140" s="2">
        <v>58</v>
      </c>
      <c r="D140" s="3"/>
      <c r="E140" s="3"/>
    </row>
    <row r="141" spans="1:5" x14ac:dyDescent="0.3">
      <c r="A141" t="s">
        <v>140</v>
      </c>
      <c r="B141" s="2">
        <v>157.695652173913</v>
      </c>
      <c r="C141" s="2">
        <v>43</v>
      </c>
      <c r="D141" s="3"/>
      <c r="E141" s="3"/>
    </row>
    <row r="142" spans="1:5" x14ac:dyDescent="0.3">
      <c r="A142" t="s">
        <v>141</v>
      </c>
      <c r="B142" s="2">
        <v>163.333333333333</v>
      </c>
      <c r="C142" s="2">
        <v>42</v>
      </c>
      <c r="D142" s="3">
        <f t="shared" ref="D142" si="86">+AVERAGE(B140:B142)</f>
        <v>155.42236024844701</v>
      </c>
      <c r="E142" s="3">
        <f t="shared" ref="E142" si="87">+AVERAGE(C140:C142)</f>
        <v>47.666666666666664</v>
      </c>
    </row>
    <row r="143" spans="1:5" x14ac:dyDescent="0.3">
      <c r="A143" t="s">
        <v>142</v>
      </c>
      <c r="B143" s="2">
        <v>150.95454545454501</v>
      </c>
      <c r="C143" s="2">
        <v>100</v>
      </c>
      <c r="D143" s="3"/>
      <c r="E143" s="3"/>
    </row>
    <row r="144" spans="1:5" x14ac:dyDescent="0.3">
      <c r="A144" t="s">
        <v>143</v>
      </c>
      <c r="B144" s="2">
        <v>149.26086956521701</v>
      </c>
      <c r="C144" s="2">
        <v>67</v>
      </c>
      <c r="D144" s="3"/>
      <c r="E144" s="3"/>
    </row>
    <row r="145" spans="1:5" x14ac:dyDescent="0.3">
      <c r="A145" t="s">
        <v>144</v>
      </c>
      <c r="B145" s="2">
        <v>139.9</v>
      </c>
      <c r="C145" s="2">
        <v>71</v>
      </c>
      <c r="D145" s="3">
        <f t="shared" ref="D145" si="88">+AVERAGE(B143:B145)</f>
        <v>146.70513833992069</v>
      </c>
      <c r="E145" s="3">
        <f t="shared" ref="E145" si="89">+AVERAGE(C143:C145)</f>
        <v>79.333333333333329</v>
      </c>
    </row>
    <row r="146" spans="1:5" x14ac:dyDescent="0.3">
      <c r="A146" t="s">
        <v>145</v>
      </c>
      <c r="B146" s="2">
        <v>142.695652173913</v>
      </c>
      <c r="C146" s="2">
        <v>64</v>
      </c>
      <c r="D146" s="3"/>
      <c r="E146" s="3"/>
    </row>
    <row r="147" spans="1:5" x14ac:dyDescent="0.3">
      <c r="A147" t="s">
        <v>146</v>
      </c>
      <c r="B147" s="2">
        <v>156.863636363636</v>
      </c>
      <c r="C147" s="2">
        <v>70</v>
      </c>
      <c r="D147" s="3"/>
      <c r="E147" s="3"/>
    </row>
    <row r="148" spans="1:5" x14ac:dyDescent="0.3">
      <c r="A148" t="s">
        <v>147</v>
      </c>
      <c r="B148" s="2">
        <v>164.80952380952399</v>
      </c>
      <c r="C148" s="2">
        <v>38</v>
      </c>
      <c r="D148" s="3">
        <f t="shared" ref="D148" si="90">+AVERAGE(B146:B148)</f>
        <v>154.78960411569099</v>
      </c>
      <c r="E148" s="3">
        <f t="shared" ref="E148" si="91">+AVERAGE(C146:C148)</f>
        <v>57.333333333333336</v>
      </c>
    </row>
    <row r="149" spans="1:5" x14ac:dyDescent="0.3">
      <c r="A149" t="s">
        <v>148</v>
      </c>
      <c r="B149" s="2">
        <v>152.39130434782601</v>
      </c>
      <c r="C149" s="2">
        <v>31</v>
      </c>
      <c r="D149" s="3"/>
      <c r="E149" s="3"/>
    </row>
    <row r="150" spans="1:5" x14ac:dyDescent="0.3">
      <c r="A150" t="s">
        <v>149</v>
      </c>
      <c r="B150" s="2">
        <v>139.5</v>
      </c>
      <c r="C150" s="2">
        <v>20</v>
      </c>
      <c r="D150" s="3"/>
      <c r="E150" s="3"/>
    </row>
    <row r="151" spans="1:5" x14ac:dyDescent="0.3">
      <c r="A151" t="s">
        <v>150</v>
      </c>
      <c r="B151" s="2">
        <v>135.666666666667</v>
      </c>
      <c r="C151" s="2">
        <v>33</v>
      </c>
      <c r="D151" s="3">
        <f t="shared" ref="D151" si="92">+AVERAGE(B149:B151)</f>
        <v>142.51932367149766</v>
      </c>
      <c r="E151" s="3">
        <f t="shared" ref="E151" si="93">+AVERAGE(C149:C151)</f>
        <v>28</v>
      </c>
    </row>
    <row r="152" spans="1:5" x14ac:dyDescent="0.3">
      <c r="A152" t="s">
        <v>151</v>
      </c>
      <c r="B152" s="2">
        <v>122.363636363636</v>
      </c>
      <c r="C152" s="2">
        <v>48</v>
      </c>
      <c r="D152" s="3"/>
      <c r="E152" s="3"/>
    </row>
    <row r="153" spans="1:5" x14ac:dyDescent="0.3">
      <c r="A153" t="s">
        <v>152</v>
      </c>
      <c r="B153" s="2">
        <v>135.695652173913</v>
      </c>
      <c r="C153" s="2">
        <v>52</v>
      </c>
      <c r="D153" s="3"/>
      <c r="E153" s="3"/>
    </row>
    <row r="154" spans="1:5" x14ac:dyDescent="0.3">
      <c r="A154" t="s">
        <v>153</v>
      </c>
      <c r="B154" s="2">
        <v>129.15</v>
      </c>
      <c r="C154" s="2">
        <v>57</v>
      </c>
      <c r="D154" s="3">
        <f t="shared" ref="D154" si="94">+AVERAGE(B152:B154)</f>
        <v>129.06976284584968</v>
      </c>
      <c r="E154" s="3">
        <f t="shared" ref="E154" si="95">+AVERAGE(C152:C154)</f>
        <v>52.333333333333336</v>
      </c>
    </row>
    <row r="155" spans="1:5" x14ac:dyDescent="0.3">
      <c r="A155" t="s">
        <v>154</v>
      </c>
      <c r="B155" s="2">
        <v>116.130434782609</v>
      </c>
      <c r="C155" s="2">
        <v>49</v>
      </c>
      <c r="D155" s="3"/>
      <c r="E155" s="3"/>
    </row>
    <row r="156" spans="1:5" x14ac:dyDescent="0.3">
      <c r="A156" t="s">
        <v>155</v>
      </c>
      <c r="B156" s="2">
        <v>127.09090909090899</v>
      </c>
      <c r="C156" s="2">
        <v>34</v>
      </c>
      <c r="D156" s="3"/>
      <c r="E156" s="3"/>
    </row>
    <row r="157" spans="1:5" x14ac:dyDescent="0.3">
      <c r="A157" t="s">
        <v>156</v>
      </c>
      <c r="B157" s="2">
        <v>116.428571428571</v>
      </c>
      <c r="C157" s="2">
        <v>50</v>
      </c>
      <c r="D157" s="3">
        <f t="shared" ref="D157" si="96">+AVERAGE(B155:B157)</f>
        <v>119.88330510069632</v>
      </c>
      <c r="E157" s="3">
        <f t="shared" ref="E157" si="97">+AVERAGE(C155:C157)</f>
        <v>44.333333333333336</v>
      </c>
    </row>
    <row r="158" spans="1:5" x14ac:dyDescent="0.3">
      <c r="A158" t="s">
        <v>157</v>
      </c>
      <c r="B158" s="2">
        <v>126.913043478261</v>
      </c>
      <c r="C158" s="2">
        <v>54</v>
      </c>
      <c r="D158" s="3"/>
      <c r="E158" s="3"/>
    </row>
    <row r="159" spans="1:5" x14ac:dyDescent="0.3">
      <c r="A159" t="s">
        <v>158</v>
      </c>
      <c r="B159" s="2">
        <v>126.761904761905</v>
      </c>
      <c r="C159" s="2">
        <v>65</v>
      </c>
      <c r="D159" s="3"/>
      <c r="E159" s="3"/>
    </row>
    <row r="160" spans="1:5" x14ac:dyDescent="0.3">
      <c r="A160" t="s">
        <v>159</v>
      </c>
      <c r="B160" s="2">
        <v>115.90909090909101</v>
      </c>
      <c r="C160" s="2">
        <v>45</v>
      </c>
      <c r="D160" s="3">
        <f t="shared" ref="D160" si="98">+AVERAGE(B158:B160)</f>
        <v>123.194679716419</v>
      </c>
      <c r="E160" s="3">
        <f t="shared" ref="E160" si="99">+AVERAGE(C158:C160)</f>
        <v>54.666666666666664</v>
      </c>
    </row>
    <row r="161" spans="1:5" x14ac:dyDescent="0.3">
      <c r="A161" t="s">
        <v>160</v>
      </c>
      <c r="B161" s="2">
        <v>113.869565217391</v>
      </c>
      <c r="C161" s="2">
        <v>22</v>
      </c>
      <c r="D161" s="3"/>
      <c r="E161" s="3"/>
    </row>
    <row r="162" spans="1:5" x14ac:dyDescent="0.3">
      <c r="A162" t="s">
        <v>161</v>
      </c>
      <c r="B162" s="2">
        <v>122.2</v>
      </c>
      <c r="C162" s="2">
        <v>18</v>
      </c>
      <c r="D162" s="3"/>
      <c r="E162" s="3"/>
    </row>
    <row r="163" spans="1:5" x14ac:dyDescent="0.3">
      <c r="A163" t="s">
        <v>162</v>
      </c>
      <c r="B163" s="2">
        <v>248.90909090909099</v>
      </c>
      <c r="C163" s="2">
        <v>16</v>
      </c>
      <c r="D163" s="3">
        <f t="shared" ref="D163" si="100">+AVERAGE(B161:B163)</f>
        <v>161.65955204216067</v>
      </c>
      <c r="E163" s="3">
        <f t="shared" ref="E163" si="101">+AVERAGE(C161:C163)</f>
        <v>18.666666666666668</v>
      </c>
    </row>
    <row r="164" spans="1:5" x14ac:dyDescent="0.3">
      <c r="A164" t="s">
        <v>163</v>
      </c>
      <c r="B164" s="2">
        <v>277.95454545454498</v>
      </c>
      <c r="C164" s="2">
        <v>19</v>
      </c>
      <c r="D164" s="3"/>
      <c r="E164" s="3"/>
    </row>
    <row r="165" spans="1:5" x14ac:dyDescent="0.3">
      <c r="A165" t="s">
        <v>164</v>
      </c>
      <c r="B165" s="2">
        <v>222.35</v>
      </c>
      <c r="C165" s="2">
        <v>41</v>
      </c>
      <c r="D165" s="3"/>
      <c r="E165" s="3"/>
    </row>
    <row r="166" spans="1:5" x14ac:dyDescent="0.3">
      <c r="A166" t="s">
        <v>165</v>
      </c>
      <c r="B166" s="2">
        <v>180.136363636364</v>
      </c>
      <c r="C166" s="2">
        <v>49</v>
      </c>
      <c r="D166" s="3">
        <f t="shared" ref="D166" si="102">+AVERAGE(B164:B166)</f>
        <v>226.81363636363631</v>
      </c>
      <c r="E166" s="3">
        <f t="shared" ref="E166" si="103">+AVERAGE(C164:C166)</f>
        <v>36.333333333333336</v>
      </c>
    </row>
    <row r="167" spans="1:5" x14ac:dyDescent="0.3">
      <c r="A167" t="s">
        <v>166</v>
      </c>
      <c r="B167" s="2">
        <v>169.34782608695701</v>
      </c>
      <c r="C167" s="2">
        <v>55</v>
      </c>
      <c r="D167" s="3"/>
      <c r="E167" s="3"/>
    </row>
    <row r="168" spans="1:5" x14ac:dyDescent="0.3">
      <c r="A168" t="s">
        <v>167</v>
      </c>
      <c r="B168" s="2">
        <v>145.636363636364</v>
      </c>
      <c r="C168" s="2">
        <v>26</v>
      </c>
      <c r="D168" s="3"/>
      <c r="E168" s="3"/>
    </row>
    <row r="169" spans="1:5" x14ac:dyDescent="0.3">
      <c r="A169" t="s">
        <v>168</v>
      </c>
      <c r="B169" s="2">
        <v>160.40909090909099</v>
      </c>
      <c r="C169" s="2">
        <v>37</v>
      </c>
      <c r="D169" s="3">
        <f t="shared" ref="D169" si="104">+AVERAGE(B167:B169)</f>
        <v>158.46442687747069</v>
      </c>
      <c r="E169" s="3">
        <f t="shared" ref="E169" si="105">+AVERAGE(C167:C169)</f>
        <v>39.333333333333336</v>
      </c>
    </row>
    <row r="170" spans="1:5" x14ac:dyDescent="0.3">
      <c r="A170" t="s">
        <v>169</v>
      </c>
      <c r="B170" s="2">
        <v>150.18181818181799</v>
      </c>
      <c r="C170" s="2">
        <v>27</v>
      </c>
      <c r="D170" s="3"/>
      <c r="E170" s="3"/>
    </row>
    <row r="171" spans="1:5" x14ac:dyDescent="0.3">
      <c r="A171" t="s">
        <v>170</v>
      </c>
      <c r="B171" s="2">
        <v>147</v>
      </c>
      <c r="C171" s="2">
        <v>50</v>
      </c>
      <c r="D171" s="3"/>
      <c r="E171" s="3"/>
    </row>
    <row r="172" spans="1:5" x14ac:dyDescent="0.3">
      <c r="A172" t="s">
        <v>171</v>
      </c>
      <c r="B172" s="2">
        <v>143.304347826087</v>
      </c>
      <c r="C172" s="2">
        <v>31</v>
      </c>
      <c r="D172" s="3">
        <f t="shared" ref="D172" si="106">+AVERAGE(B170:B172)</f>
        <v>146.828722002635</v>
      </c>
      <c r="E172" s="3">
        <f t="shared" ref="E172" si="107">+AVERAGE(C170:C172)</f>
        <v>36</v>
      </c>
    </row>
    <row r="173" spans="1:5" x14ac:dyDescent="0.3">
      <c r="A173" t="s">
        <v>172</v>
      </c>
      <c r="B173" s="2">
        <v>131.61904761904799</v>
      </c>
      <c r="C173" s="2">
        <v>13</v>
      </c>
      <c r="D173" s="3"/>
      <c r="E173" s="3"/>
    </row>
    <row r="174" spans="1:5" x14ac:dyDescent="0.3">
      <c r="A174" t="s">
        <v>173</v>
      </c>
      <c r="B174" s="2">
        <v>138.1</v>
      </c>
      <c r="C174" s="2">
        <v>22</v>
      </c>
      <c r="D174" s="3"/>
      <c r="E174" s="3"/>
    </row>
    <row r="175" spans="1:5" x14ac:dyDescent="0.3">
      <c r="A175" t="s">
        <v>174</v>
      </c>
      <c r="B175" s="2">
        <v>165.08695652173901</v>
      </c>
      <c r="C175" s="2">
        <v>27</v>
      </c>
      <c r="D175" s="3">
        <f t="shared" ref="D175" si="108">+AVERAGE(B173:B175)</f>
        <v>144.93533471359567</v>
      </c>
      <c r="E175" s="3">
        <f t="shared" ref="E175" si="109">+AVERAGE(C173:C175)</f>
        <v>20.666666666666668</v>
      </c>
    </row>
    <row r="176" spans="1:5" x14ac:dyDescent="0.3">
      <c r="A176" t="s">
        <v>175</v>
      </c>
      <c r="B176" s="2">
        <v>164.5</v>
      </c>
      <c r="C176" s="2">
        <v>52</v>
      </c>
      <c r="D176" s="3"/>
      <c r="E176" s="3"/>
    </row>
    <row r="177" spans="1:5" x14ac:dyDescent="0.3">
      <c r="A177" t="s">
        <v>176</v>
      </c>
      <c r="B177" s="2">
        <v>163.57142857142901</v>
      </c>
      <c r="C177" s="2">
        <v>40</v>
      </c>
      <c r="D177" s="3"/>
      <c r="E177" s="3"/>
    </row>
    <row r="178" spans="1:5" x14ac:dyDescent="0.3">
      <c r="A178" t="s">
        <v>177</v>
      </c>
      <c r="B178" s="2">
        <v>169.227272727273</v>
      </c>
      <c r="C178" s="2">
        <v>43</v>
      </c>
      <c r="D178" s="3">
        <f t="shared" ref="D178" si="110">+AVERAGE(B176:B178)</f>
        <v>165.766233766234</v>
      </c>
      <c r="E178" s="3">
        <f t="shared" ref="E178" si="111">+AVERAGE(C176:C178)</f>
        <v>45</v>
      </c>
    </row>
    <row r="179" spans="1:5" x14ac:dyDescent="0.3">
      <c r="A179" t="s">
        <v>178</v>
      </c>
      <c r="B179" s="2">
        <v>170</v>
      </c>
      <c r="C179" s="2">
        <v>38</v>
      </c>
      <c r="D179" s="3"/>
      <c r="E179" s="3"/>
    </row>
    <row r="180" spans="1:5" x14ac:dyDescent="0.3">
      <c r="A180" t="s">
        <v>179</v>
      </c>
      <c r="B180" s="2">
        <v>183</v>
      </c>
      <c r="C180" s="2">
        <v>21</v>
      </c>
      <c r="D180" s="3"/>
      <c r="E180" s="3"/>
    </row>
    <row r="181" spans="1:5" x14ac:dyDescent="0.3">
      <c r="A181" t="s">
        <v>180</v>
      </c>
      <c r="B181" s="2">
        <v>174</v>
      </c>
      <c r="C181" s="2">
        <v>28</v>
      </c>
      <c r="D181" s="3">
        <f t="shared" ref="D181" si="112">+AVERAGE(B179:B181)</f>
        <v>175.66666666666666</v>
      </c>
      <c r="E181" s="3">
        <f t="shared" ref="E181" si="113">+AVERAGE(C179:C181)</f>
        <v>29</v>
      </c>
    </row>
    <row r="182" spans="1:5" x14ac:dyDescent="0.3">
      <c r="A182" t="s">
        <v>181</v>
      </c>
      <c r="B182" s="2">
        <v>171.61904761904799</v>
      </c>
      <c r="C182" s="2">
        <v>28</v>
      </c>
      <c r="D182" s="3"/>
      <c r="E182" s="3"/>
    </row>
    <row r="183" spans="1:5" x14ac:dyDescent="0.3">
      <c r="A183" t="s">
        <v>182</v>
      </c>
      <c r="B183" s="2">
        <v>179.363636363636</v>
      </c>
      <c r="C183" s="2">
        <v>37</v>
      </c>
      <c r="D183" s="3"/>
      <c r="E183" s="3"/>
    </row>
    <row r="184" spans="1:5" x14ac:dyDescent="0.3">
      <c r="A184" t="s">
        <v>183</v>
      </c>
      <c r="B184" s="2">
        <v>174.304347826087</v>
      </c>
      <c r="C184" s="2">
        <v>30</v>
      </c>
      <c r="D184" s="3">
        <f t="shared" ref="D184" si="114">+AVERAGE(B182:B184)</f>
        <v>175.09567726959031</v>
      </c>
      <c r="E184" s="3">
        <f t="shared" ref="E184" si="115">+AVERAGE(C182:C184)</f>
        <v>31.666666666666668</v>
      </c>
    </row>
    <row r="185" spans="1:5" x14ac:dyDescent="0.3">
      <c r="A185" t="s">
        <v>184</v>
      </c>
      <c r="B185" s="2">
        <v>176.76190476190499</v>
      </c>
      <c r="C185" s="2">
        <v>4</v>
      </c>
      <c r="D185" s="3"/>
      <c r="E185" s="3"/>
    </row>
    <row r="186" spans="1:5" x14ac:dyDescent="0.3">
      <c r="A186" t="s">
        <v>185</v>
      </c>
      <c r="B186" s="2">
        <v>197.75</v>
      </c>
      <c r="C186" s="2">
        <v>5</v>
      </c>
      <c r="D186" s="3"/>
      <c r="E186" s="3"/>
    </row>
    <row r="187" spans="1:5" x14ac:dyDescent="0.3">
      <c r="A187" t="s">
        <v>186</v>
      </c>
      <c r="B187" s="2">
        <v>200.73913043478299</v>
      </c>
      <c r="C187" s="2">
        <v>7</v>
      </c>
      <c r="D187" s="3">
        <f t="shared" ref="D187" si="116">+AVERAGE(B185:B187)</f>
        <v>191.75034506556267</v>
      </c>
      <c r="E187" s="3">
        <f t="shared" ref="E187" si="117">+AVERAGE(C185:C187)</f>
        <v>5.333333333333333</v>
      </c>
    </row>
    <row r="188" spans="1:5" x14ac:dyDescent="0.3">
      <c r="A188" t="s">
        <v>187</v>
      </c>
      <c r="B188" s="2">
        <v>186.666666666667</v>
      </c>
      <c r="C188" s="2">
        <v>11</v>
      </c>
      <c r="D188" s="3"/>
      <c r="E188" s="3"/>
    </row>
    <row r="189" spans="1:5" x14ac:dyDescent="0.3">
      <c r="A189" t="s">
        <v>188</v>
      </c>
      <c r="B189" s="2">
        <v>217.54545454545499</v>
      </c>
      <c r="C189" s="2">
        <v>12</v>
      </c>
      <c r="D189" s="3"/>
      <c r="E189" s="3"/>
    </row>
    <row r="190" spans="1:5" x14ac:dyDescent="0.3">
      <c r="A190" t="s">
        <v>189</v>
      </c>
      <c r="B190" s="2">
        <v>213.54545454545499</v>
      </c>
      <c r="C190" s="2">
        <v>10</v>
      </c>
      <c r="D190" s="3">
        <f t="shared" ref="D190" si="118">+AVERAGE(B188:B190)</f>
        <v>205.91919191919234</v>
      </c>
      <c r="E190" s="3">
        <f t="shared" ref="E190" si="119">+AVERAGE(C188:C190)</f>
        <v>11</v>
      </c>
    </row>
    <row r="191" spans="1:5" x14ac:dyDescent="0.3">
      <c r="A191" t="s">
        <v>190</v>
      </c>
      <c r="B191" s="2">
        <v>235.42857142857099</v>
      </c>
      <c r="C191" s="2">
        <v>10</v>
      </c>
      <c r="D191" s="3"/>
      <c r="E191" s="3"/>
    </row>
    <row r="192" spans="1:5" x14ac:dyDescent="0.3">
      <c r="A192" t="s">
        <v>191</v>
      </c>
      <c r="B192" s="2">
        <v>211</v>
      </c>
      <c r="C192" s="2">
        <v>10</v>
      </c>
      <c r="D192" s="3"/>
      <c r="E192" s="3"/>
    </row>
    <row r="193" spans="1:5" x14ac:dyDescent="0.3">
      <c r="A193" t="s">
        <v>192</v>
      </c>
      <c r="B193" s="2">
        <v>225.273454545455</v>
      </c>
      <c r="C193" s="2">
        <v>13</v>
      </c>
      <c r="D193" s="3">
        <f t="shared" ref="D193" si="120">+AVERAGE(B191:B193)</f>
        <v>223.90067532467535</v>
      </c>
      <c r="E193" s="3">
        <f t="shared" ref="E193" si="121">+AVERAGE(C191:C193)</f>
        <v>11</v>
      </c>
    </row>
    <row r="194" spans="1:5" x14ac:dyDescent="0.3">
      <c r="A194" t="s">
        <v>193</v>
      </c>
      <c r="B194" s="2">
        <v>242.587095238095</v>
      </c>
      <c r="C194" s="2">
        <v>12</v>
      </c>
      <c r="D194" s="3"/>
      <c r="E194" s="3"/>
    </row>
    <row r="195" spans="1:5" x14ac:dyDescent="0.3">
      <c r="A195" t="s">
        <v>194</v>
      </c>
      <c r="B195" s="2">
        <v>203.40690909090901</v>
      </c>
      <c r="C195" s="2">
        <v>15</v>
      </c>
      <c r="D195" s="3"/>
      <c r="E195" s="3"/>
    </row>
    <row r="196" spans="1:5" x14ac:dyDescent="0.3">
      <c r="A196" t="s">
        <v>195</v>
      </c>
      <c r="B196" s="2">
        <v>195.5</v>
      </c>
      <c r="C196" s="2">
        <v>11</v>
      </c>
      <c r="D196" s="3">
        <f t="shared" ref="D196" si="122">+AVERAGE(B194:B196)</f>
        <v>213.83133477633467</v>
      </c>
      <c r="E196" s="3">
        <f t="shared" ref="E196" si="123">+AVERAGE(C194:C196)</f>
        <v>12.666666666666666</v>
      </c>
    </row>
    <row r="197" spans="1:5" x14ac:dyDescent="0.3">
      <c r="A197" t="s">
        <v>196</v>
      </c>
      <c r="B197" s="2">
        <v>207.04545454545499</v>
      </c>
      <c r="C197" s="2">
        <v>5</v>
      </c>
      <c r="D197" s="3"/>
      <c r="E197" s="3"/>
    </row>
    <row r="198" spans="1:5" x14ac:dyDescent="0.3">
      <c r="A198" t="s">
        <v>197</v>
      </c>
      <c r="B198" s="2">
        <v>192.3</v>
      </c>
      <c r="C198" s="2">
        <v>5</v>
      </c>
      <c r="D198" s="3"/>
      <c r="E198" s="3"/>
    </row>
    <row r="199" spans="1:5" x14ac:dyDescent="0.3">
      <c r="A199" t="s">
        <v>198</v>
      </c>
      <c r="B199" s="2">
        <v>203.826086956522</v>
      </c>
      <c r="C199" s="2">
        <v>5</v>
      </c>
      <c r="D199" s="3">
        <f t="shared" ref="D199" si="124">+AVERAGE(B197:B199)</f>
        <v>201.057180500659</v>
      </c>
      <c r="E199" s="3">
        <f t="shared" ref="E199" si="125">+AVERAGE(C197:C199)</f>
        <v>5</v>
      </c>
    </row>
    <row r="200" spans="1:5" x14ac:dyDescent="0.3">
      <c r="A200" t="s">
        <v>199</v>
      </c>
      <c r="B200" s="2">
        <v>201.9</v>
      </c>
      <c r="C200" s="2">
        <v>10</v>
      </c>
      <c r="D200" s="3"/>
      <c r="E200" s="3"/>
    </row>
    <row r="201" spans="1:5" x14ac:dyDescent="0.3">
      <c r="A201" t="s">
        <v>200</v>
      </c>
      <c r="B201" s="2">
        <v>197.39130434782601</v>
      </c>
      <c r="C201" s="2">
        <v>9</v>
      </c>
      <c r="D201" s="3"/>
      <c r="E201" s="3"/>
    </row>
    <row r="202" spans="1:5" x14ac:dyDescent="0.3">
      <c r="A202" t="s">
        <v>201</v>
      </c>
      <c r="B202" s="2">
        <v>181.09090909090901</v>
      </c>
      <c r="C202" s="2">
        <v>10</v>
      </c>
      <c r="D202" s="3">
        <f t="shared" ref="D202" si="126">+AVERAGE(B200:B202)</f>
        <v>193.46073781291167</v>
      </c>
      <c r="E202" s="3">
        <f t="shared" ref="E202" si="127">+AVERAGE(C200:C202)</f>
        <v>9.6666666666666661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ignoredErrors>
    <ignoredError sqref="D4:E20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AF21-A063-46E9-9479-4A59D26FCFDD}">
  <dimension ref="A1:C5"/>
  <sheetViews>
    <sheetView workbookViewId="0">
      <selection activeCell="C4" sqref="C4"/>
    </sheetView>
  </sheetViews>
  <sheetFormatPr baseColWidth="10" defaultRowHeight="14.4" x14ac:dyDescent="0.3"/>
  <cols>
    <col min="2" max="2" width="14.33203125" bestFit="1" customWidth="1"/>
    <col min="3" max="3" width="111.44140625" bestFit="1" customWidth="1"/>
  </cols>
  <sheetData>
    <row r="1" spans="1:3" x14ac:dyDescent="0.3">
      <c r="A1" t="s">
        <v>202</v>
      </c>
      <c r="B1" t="s">
        <v>203</v>
      </c>
      <c r="C1" t="s">
        <v>204</v>
      </c>
    </row>
    <row r="2" spans="1:3" x14ac:dyDescent="0.3">
      <c r="A2" t="s">
        <v>0</v>
      </c>
      <c r="B2" t="s">
        <v>206</v>
      </c>
      <c r="C2" t="s">
        <v>205</v>
      </c>
    </row>
    <row r="3" spans="1:3" x14ac:dyDescent="0.3">
      <c r="B3" s="1" t="s">
        <v>207</v>
      </c>
      <c r="C3" s="1" t="s">
        <v>280</v>
      </c>
    </row>
    <row r="4" spans="1:3" x14ac:dyDescent="0.3">
      <c r="A4" t="s">
        <v>276</v>
      </c>
      <c r="B4" s="1" t="s">
        <v>274</v>
      </c>
      <c r="C4" s="1" t="s">
        <v>278</v>
      </c>
    </row>
    <row r="5" spans="1:3" x14ac:dyDescent="0.3">
      <c r="A5" t="s">
        <v>277</v>
      </c>
      <c r="B5" s="1" t="s">
        <v>275</v>
      </c>
      <c r="C5" s="1" t="s">
        <v>279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Trimestrales</vt:lpstr>
      <vt:lpstr>Mensuales</vt:lpstr>
      <vt:lpstr>descripcion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PIERO ALEJANDRO</cp:lastModifiedBy>
  <dcterms:created xsi:type="dcterms:W3CDTF">2023-07-25T17:32:16Z</dcterms:created>
  <dcterms:modified xsi:type="dcterms:W3CDTF">2023-07-27T19:02:07Z</dcterms:modified>
  <cp:category/>
</cp:coreProperties>
</file>